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esktop\EXCEL\"/>
    </mc:Choice>
  </mc:AlternateContent>
  <xr:revisionPtr revIDLastSave="0" documentId="13_ncr:1_{DBE9E877-F2F4-469C-95C9-0FCE4FAABEA6}" xr6:coauthVersionLast="47" xr6:coauthVersionMax="47" xr10:uidLastSave="{00000000-0000-0000-0000-000000000000}"/>
  <bookViews>
    <workbookView xWindow="-120" yWindow="-120" windowWidth="29040" windowHeight="15720" activeTab="4" xr2:uid="{814FC3E5-A60B-4B9C-B2C6-6D776947E675}"/>
  </bookViews>
  <sheets>
    <sheet name="exam" sheetId="1" r:id="rId1"/>
    <sheet name="clean data" sheetId="2" r:id="rId2"/>
    <sheet name="data cleaning preparation" sheetId="3" r:id="rId3"/>
    <sheet name="pivot table" sheetId="4" r:id="rId4"/>
    <sheet name="ADVANTED FORMULA" sheetId="5" r:id="rId5"/>
  </sheets>
  <definedNames>
    <definedName name="Slicer_Score">#N/A</definedName>
  </definedNames>
  <calcPr calcId="191029"/>
  <pivotCaches>
    <pivotCache cacheId="3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2" i="5" l="1"/>
  <c r="L102" i="5"/>
  <c r="G102" i="5"/>
  <c r="T102" i="5" l="1"/>
  <c r="O2" i="4"/>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O6" i="5"/>
  <c r="O5" i="5"/>
  <c r="O4" i="5"/>
  <c r="O3" i="5"/>
  <c r="O2" i="5"/>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alcChain>
</file>

<file path=xl/sharedStrings.xml><?xml version="1.0" encoding="utf-8"?>
<sst xmlns="http://schemas.openxmlformats.org/spreadsheetml/2006/main" count="1071" uniqueCount="142">
  <si>
    <t>World Rank</t>
  </si>
  <si>
    <t>Institution</t>
  </si>
  <si>
    <t>Location</t>
  </si>
  <si>
    <t>National Rank</t>
  </si>
  <si>
    <t>Quality of Education</t>
  </si>
  <si>
    <t>Alumni Employment</t>
  </si>
  <si>
    <t>Quality of Faculty</t>
  </si>
  <si>
    <t>Research Output</t>
  </si>
  <si>
    <t>Quality Publications</t>
  </si>
  <si>
    <t>Influence</t>
  </si>
  <si>
    <t>Citations</t>
  </si>
  <si>
    <t>Score</t>
  </si>
  <si>
    <t>Latitude</t>
  </si>
  <si>
    <t>Longitude</t>
  </si>
  <si>
    <t>Harvard University</t>
  </si>
  <si>
    <t>USA</t>
  </si>
  <si>
    <t>Stanford University</t>
  </si>
  <si>
    <t>Massachusetts Institute of Technology</t>
  </si>
  <si>
    <t>University of Cambridge</t>
  </si>
  <si>
    <t>United Kingdom</t>
  </si>
  <si>
    <t>University of Oxford</t>
  </si>
  <si>
    <t>University of California, Berkeley</t>
  </si>
  <si>
    <t>Princeton University</t>
  </si>
  <si>
    <t>Columbia University</t>
  </si>
  <si>
    <t>California Institute of Technology</t>
  </si>
  <si>
    <t>University of Chicago</t>
  </si>
  <si>
    <t>Yale University</t>
  </si>
  <si>
    <t>University of Tokyo</t>
  </si>
  <si>
    <t>Japan</t>
  </si>
  <si>
    <t>University of Pennsylvania</t>
  </si>
  <si>
    <t>Cornell University</t>
  </si>
  <si>
    <t>University of California, Los Angeles</t>
  </si>
  <si>
    <t>Johns Hopkins University</t>
  </si>
  <si>
    <t>University of Toronto</t>
  </si>
  <si>
    <t>Canada</t>
  </si>
  <si>
    <t>University of Michigan, Ann Arbor</t>
  </si>
  <si>
    <t>University of Washington - Seattle</t>
  </si>
  <si>
    <t>University of California, San Diego</t>
  </si>
  <si>
    <t>University College London</t>
  </si>
  <si>
    <t>University of California, San Francisco</t>
  </si>
  <si>
    <t>Northwestern University</t>
  </si>
  <si>
    <t>Duke University</t>
  </si>
  <si>
    <t>New York University</t>
  </si>
  <si>
    <t>Kyoto University</t>
  </si>
  <si>
    <t>University of WisconsinMadison</t>
  </si>
  <si>
    <t>ETH Zurich</t>
  </si>
  <si>
    <t>Switzerland</t>
  </si>
  <si>
    <t>Sorbonne University</t>
  </si>
  <si>
    <t>France</t>
  </si>
  <si>
    <t>Imperial College London</t>
  </si>
  <si>
    <t>University of Texas at Austin</t>
  </si>
  <si>
    <t>University of Illinois at UrbanaChampaign</t>
  </si>
  <si>
    <t>University of North Carolina at Chapel Hill</t>
  </si>
  <si>
    <t>University of Edinburgh</t>
  </si>
  <si>
    <t>University of Minnesota Twin Cities</t>
  </si>
  <si>
    <t>Washington University in St. Louis</t>
  </si>
  <si>
    <t>McGill University</t>
  </si>
  <si>
    <t>University of British Columbia</t>
  </si>
  <si>
    <t>University of Copenhagen</t>
  </si>
  <si>
    <t>Denmark</t>
  </si>
  <si>
    <t>Ohio State University</t>
  </si>
  <si>
    <t>Rutgers University-New Brunswick</t>
  </si>
  <si>
    <t>University of California, Davis</t>
  </si>
  <si>
    <t>Pennsylvania State University</t>
  </si>
  <si>
    <t>University of Manchester</t>
  </si>
  <si>
    <t>Weizmann Institute of Science</t>
  </si>
  <si>
    <t>Israel</t>
  </si>
  <si>
    <t>Heidelberg University</t>
  </si>
  <si>
    <t>Germany</t>
  </si>
  <si>
    <t>University of Maryland, College Park</t>
  </si>
  <si>
    <t>Ludwig Maximilian University of Munich</t>
  </si>
  <si>
    <t>Karolinska Institute</t>
  </si>
  <si>
    <t>Sweden</t>
  </si>
  <si>
    <t>University of Colorado Boulder</t>
  </si>
  <si>
    <t>University of Southern California</t>
  </si>
  <si>
    <t>University of Arizona</t>
  </si>
  <si>
    <t>Osaka University</t>
  </si>
  <si>
    <t>University of Paris-Sud</t>
  </si>
  <si>
    <t>University of Geneva</t>
  </si>
  <si>
    <t>Boston University</t>
  </si>
  <si>
    <t>University of Melbourne</t>
  </si>
  <si>
    <t>Australia</t>
  </si>
  <si>
    <t>Brown University</t>
  </si>
  <si>
    <t>University of California, Irvine</t>
  </si>
  <si>
    <t>Seoul National University</t>
  </si>
  <si>
    <t>South Korea</t>
  </si>
  <si>
    <t>Hebrew University of Jerusalem</t>
  </si>
  <si>
    <t>University of Florida</t>
  </si>
  <si>
    <t>Purdue University, West Lafayette</t>
  </si>
  <si>
    <t>Vanderbilt University</t>
  </si>
  <si>
    <t>University of Bristol</t>
  </si>
  <si>
    <t>University of Texas Southwestern Medical Center</t>
  </si>
  <si>
    <t>Sapienza University of Rome</t>
  </si>
  <si>
    <t>Italy</t>
  </si>
  <si>
    <t>King's College London</t>
  </si>
  <si>
    <t>University of Zurich</t>
  </si>
  <si>
    <t>University of California, Santa Barbara</t>
  </si>
  <si>
    <t>University of Sydney</t>
  </si>
  <si>
    <t>Utrecht University</t>
  </si>
  <si>
    <t>Netherlands</t>
  </si>
  <si>
    <t>University of Pittsburgh</t>
  </si>
  <si>
    <t>University of Queensland</t>
  </si>
  <si>
    <t>University of Oslo</t>
  </si>
  <si>
    <t>Norway</t>
  </si>
  <si>
    <t>11.52803643954819</t>
  </si>
  <si>
    <t>Rockefeller University</t>
  </si>
  <si>
    <t>University of São Paulo</t>
  </si>
  <si>
    <t>Brazil</t>
  </si>
  <si>
    <t>Texas A&amp;M University, College Station</t>
  </si>
  <si>
    <t>University of Virginia</t>
  </si>
  <si>
    <t>Emory University</t>
  </si>
  <si>
    <t>Free University of Berlin</t>
  </si>
  <si>
    <t>Australian National University</t>
  </si>
  <si>
    <t>University of Utah</t>
  </si>
  <si>
    <t>Paris Diderot University</t>
  </si>
  <si>
    <t>Tel Aviv University</t>
  </si>
  <si>
    <t>Uppsala University</t>
  </si>
  <si>
    <t>University of Barcelona</t>
  </si>
  <si>
    <t>Spain</t>
  </si>
  <si>
    <t>Aarhus University</t>
  </si>
  <si>
    <t>University of Texas MD Anderson Cancer Center</t>
  </si>
  <si>
    <t>Leiden University</t>
  </si>
  <si>
    <t>Carnegie Mellon University</t>
  </si>
  <si>
    <t>Peking University</t>
  </si>
  <si>
    <t>China</t>
  </si>
  <si>
    <t>University of Helsinki</t>
  </si>
  <si>
    <t>Finland</t>
  </si>
  <si>
    <t>Baylor College of Medicine</t>
  </si>
  <si>
    <t>Lund University</t>
  </si>
  <si>
    <t>University of Alberta</t>
  </si>
  <si>
    <t>Sum of World Rank</t>
  </si>
  <si>
    <t>Row Labels</t>
  </si>
  <si>
    <t>Grand Total</t>
  </si>
  <si>
    <t>(All)</t>
  </si>
  <si>
    <t>Column Labels</t>
  </si>
  <si>
    <t>high/low</t>
  </si>
  <si>
    <t>PIVOT TABLE CHART</t>
  </si>
  <si>
    <t>CONDITIONAL FORNATHING</t>
  </si>
  <si>
    <t>1.VLOOKUP</t>
  </si>
  <si>
    <t>2.INDEX</t>
  </si>
  <si>
    <t>3.IF CONDITION</t>
  </si>
  <si>
    <t>4.NESTED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</si>
</sst>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indexed="8"/>
      <name val="Calibri"/>
      <charset val="134"/>
    </font>
    <font>
      <sz val="11"/>
      <color indexed="8"/>
      <name val="Calibri"/>
      <family val="2"/>
    </font>
    <font>
      <sz val="20"/>
      <color rgb="FFFFC000"/>
      <name val="Arial Black"/>
      <family val="2"/>
    </font>
    <font>
      <sz val="28"/>
      <color rgb="FFFFC000"/>
      <name val="Algerian"/>
      <family val="5"/>
    </font>
    <font>
      <sz val="26"/>
      <color rgb="FFFFC000"/>
      <name val="Algerian"/>
      <family val="5"/>
    </font>
    <font>
      <sz val="20"/>
      <color theme="1"/>
      <name val="Arial Black"/>
      <family val="2"/>
    </font>
    <font>
      <sz val="20"/>
      <color theme="4" tint="-0.499984740745262"/>
      <name val="Arial Black"/>
      <family val="2"/>
    </font>
  </fonts>
  <fills count="7">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rgb="FF00B0F0"/>
        <bgColor indexed="64"/>
      </patternFill>
    </fill>
    <fill>
      <patternFill patternType="solid">
        <fgColor rgb="FF7030A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NumberFormat="1" applyFont="1" applyFill="1" applyBorder="1" applyAlignment="1" applyProtection="1">
      <alignment vertical="center"/>
    </xf>
    <xf numFmtId="0" fontId="1" fillId="0" borderId="0" xfId="0" quotePrefix="1" applyNumberFormat="1" applyFont="1" applyFill="1" applyBorder="1" applyAlignment="1" applyProtection="1">
      <alignment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NumberFormat="1" applyFont="1" applyFill="1" applyBorder="1" applyAlignment="1" applyProtection="1">
      <alignment vertical="center"/>
    </xf>
    <xf numFmtId="0" fontId="3" fillId="0" borderId="0" xfId="0" applyFont="1"/>
    <xf numFmtId="0" fontId="4" fillId="0" borderId="0" xfId="0" applyFont="1"/>
    <xf numFmtId="0" fontId="0" fillId="2" borderId="0" xfId="0" applyNumberFormat="1" applyFill="1"/>
    <xf numFmtId="0" fontId="0" fillId="3" borderId="0" xfId="0" applyFill="1"/>
    <xf numFmtId="0" fontId="0" fillId="4" borderId="0" xfId="0" applyFill="1"/>
    <xf numFmtId="0" fontId="0" fillId="5" borderId="0" xfId="0" applyFill="1" applyAlignment="1">
      <alignment horizontal="left"/>
    </xf>
    <xf numFmtId="0" fontId="0" fillId="6" borderId="0" xfId="0" applyNumberFormat="1" applyFill="1"/>
    <xf numFmtId="0" fontId="5" fillId="0" borderId="0" xfId="0" applyFont="1"/>
    <xf numFmtId="0" fontId="6" fillId="0" borderId="0" xfId="0" applyFont="1"/>
    <xf numFmtId="0" fontId="7" fillId="0" borderId="0" xfId="0" applyNumberFormat="1" applyFont="1" applyFill="1" applyBorder="1" applyAlignment="1" applyProtection="1">
      <alignment vertical="center"/>
    </xf>
  </cellXfs>
  <cellStyles count="1">
    <cellStyle name="Normal" xfId="0" builtinId="0"/>
  </cellStyles>
  <dxfs count="87">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ill>
        <patternFill patternType="solid">
          <bgColor rgb="FFFFFF00"/>
        </patternFill>
      </fill>
    </dxf>
    <dxf>
      <fill>
        <patternFill patternType="solid">
          <bgColor theme="5" tint="-0.249977111117893"/>
        </patternFill>
      </fill>
    </dxf>
    <dxf>
      <fill>
        <patternFill patternType="solid">
          <bgColor theme="4" tint="-0.249977111117893"/>
        </patternFill>
      </fill>
    </dxf>
    <dxf>
      <fill>
        <patternFill patternType="solid">
          <bgColor rgb="FF00B0F0"/>
        </patternFill>
      </fill>
    </dxf>
    <dxf>
      <fill>
        <patternFill patternType="solid">
          <bgColor rgb="FF7030A0"/>
        </patternFill>
      </fill>
    </dxf>
    <dxf>
      <fill>
        <patternFill patternType="solid">
          <bgColor rgb="FF7030A0"/>
        </patternFill>
      </fill>
    </dxf>
    <dxf>
      <fill>
        <patternFill patternType="solid">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[exam.xlsx]pivot table!PivotTable15</c:name>
    <c:fmtId val="0"/>
  </c:pivotSource>
  <c:chart>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20975503062118"/>
          <c:y val="0.34878973461650625"/>
          <c:w val="0.77178018372703416"/>
          <c:h val="0.38793890347039955"/>
        </c:manualLayout>
      </c:layout>
      <c:barChart>
        <c:barDir val="col"/>
        <c:grouping val="clustered"/>
        <c:varyColors val="0"/>
        <c:ser>
          <c:idx val="0"/>
          <c:order val="0"/>
          <c:tx>
            <c:strRef>
              <c:f>'pivot table'!$B$100:$B$101</c:f>
              <c:strCache>
                <c:ptCount val="1"/>
                <c:pt idx="0">
                  <c:v>91.9</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table'!$B$102:$B$112</c:f>
              <c:numCache>
                <c:formatCode>General</c:formatCode>
                <c:ptCount val="5"/>
                <c:pt idx="3">
                  <c:v>7</c:v>
                </c:pt>
              </c:numCache>
            </c:numRef>
          </c:val>
          <c:extLst>
            <c:ext xmlns:c16="http://schemas.microsoft.com/office/drawing/2014/chart" uri="{C3380CC4-5D6E-409C-BE32-E72D297353CC}">
              <c16:uniqueId val="{00000000-4CDF-48F7-ABF8-6BE0BCCA7CCF}"/>
            </c:ext>
          </c:extLst>
        </c:ser>
        <c:ser>
          <c:idx val="1"/>
          <c:order val="1"/>
          <c:tx>
            <c:strRef>
              <c:f>'pivot table'!$C$100:$C$101</c:f>
              <c:strCache>
                <c:ptCount val="1"/>
                <c:pt idx="0">
                  <c:v>92.5</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table'!$C$102:$C$112</c:f>
              <c:numCache>
                <c:formatCode>General</c:formatCode>
                <c:ptCount val="5"/>
                <c:pt idx="4">
                  <c:v>6</c:v>
                </c:pt>
              </c:numCache>
            </c:numRef>
          </c:val>
          <c:extLst>
            <c:ext xmlns:c16="http://schemas.microsoft.com/office/drawing/2014/chart" uri="{C3380CC4-5D6E-409C-BE32-E72D297353CC}">
              <c16:uniqueId val="{00000012-4CDF-48F7-ABF8-6BE0BCCA7CCF}"/>
            </c:ext>
          </c:extLst>
        </c:ser>
        <c:ser>
          <c:idx val="2"/>
          <c:order val="2"/>
          <c:tx>
            <c:strRef>
              <c:f>'pivot table'!$D$100:$D$101</c:f>
              <c:strCache>
                <c:ptCount val="1"/>
                <c:pt idx="0">
                  <c:v>95.1</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table'!$D$102:$D$112</c:f>
              <c:numCache>
                <c:formatCode>General</c:formatCode>
                <c:ptCount val="5"/>
                <c:pt idx="2">
                  <c:v>3</c:v>
                </c:pt>
              </c:numCache>
            </c:numRef>
          </c:val>
          <c:extLst>
            <c:ext xmlns:c16="http://schemas.microsoft.com/office/drawing/2014/chart" uri="{C3380CC4-5D6E-409C-BE32-E72D297353CC}">
              <c16:uniqueId val="{00000013-4CDF-48F7-ABF8-6BE0BCCA7CCF}"/>
            </c:ext>
          </c:extLst>
        </c:ser>
        <c:ser>
          <c:idx val="3"/>
          <c:order val="3"/>
          <c:tx>
            <c:strRef>
              <c:f>'pivot table'!$E$100:$E$101</c:f>
              <c:strCache>
                <c:ptCount val="1"/>
                <c:pt idx="0">
                  <c:v>96.7</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table'!$E$102:$E$112</c:f>
              <c:numCache>
                <c:formatCode>General</c:formatCode>
                <c:ptCount val="5"/>
                <c:pt idx="1">
                  <c:v>2</c:v>
                </c:pt>
              </c:numCache>
            </c:numRef>
          </c:val>
          <c:extLst>
            <c:ext xmlns:c16="http://schemas.microsoft.com/office/drawing/2014/chart" uri="{C3380CC4-5D6E-409C-BE32-E72D297353CC}">
              <c16:uniqueId val="{00000014-4CDF-48F7-ABF8-6BE0BCCA7CCF}"/>
            </c:ext>
          </c:extLst>
        </c:ser>
        <c:ser>
          <c:idx val="4"/>
          <c:order val="4"/>
          <c:tx>
            <c:strRef>
              <c:f>'pivot table'!$F$100:$F$101</c:f>
              <c:strCache>
                <c:ptCount val="1"/>
                <c:pt idx="0">
                  <c:v>100</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table'!$F$102:$F$112</c:f>
              <c:numCache>
                <c:formatCode>General</c:formatCode>
                <c:ptCount val="5"/>
                <c:pt idx="0">
                  <c:v>1</c:v>
                </c:pt>
              </c:numCache>
            </c:numRef>
          </c:val>
          <c:extLst>
            <c:ext xmlns:c16="http://schemas.microsoft.com/office/drawing/2014/chart" uri="{C3380CC4-5D6E-409C-BE32-E72D297353CC}">
              <c16:uniqueId val="{00000015-4CDF-48F7-ABF8-6BE0BCCA7CCF}"/>
            </c:ext>
          </c:extLst>
        </c:ser>
        <c:dLbls>
          <c:showLegendKey val="0"/>
          <c:showVal val="0"/>
          <c:showCatName val="0"/>
          <c:showSerName val="0"/>
          <c:showPercent val="0"/>
          <c:showBubbleSize val="0"/>
        </c:dLbls>
        <c:gapWidth val="315"/>
        <c:overlap val="-40"/>
        <c:axId val="608315920"/>
        <c:axId val="608316880"/>
      </c:barChart>
      <c:catAx>
        <c:axId val="608315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8316880"/>
        <c:crosses val="autoZero"/>
        <c:auto val="1"/>
        <c:lblAlgn val="ctr"/>
        <c:lblOffset val="100"/>
        <c:noMultiLvlLbl val="0"/>
      </c:catAx>
      <c:valAx>
        <c:axId val="6083168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831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[exam.xlsx]pivot table!PivotTable15</c:name>
    <c:fmtId val="1"/>
  </c:pivotSource>
  <c:chart>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a:solidFill>
                <a:schemeClr val="dk1">
                  <a:tint val="5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w="9525">
              <a:solidFill>
                <a:schemeClr val="dk1">
                  <a:tint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w="9525">
              <a:solidFill>
                <a:schemeClr val="dk1">
                  <a:tint val="9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w="9525">
              <a:solidFill>
                <a:schemeClr val="dk1">
                  <a:tint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table'!$B$100:$B$101</c:f>
              <c:strCache>
                <c:ptCount val="1"/>
                <c:pt idx="0">
                  <c:v>91.9</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table'!$B$102:$B$112</c:f>
              <c:numCache>
                <c:formatCode>General</c:formatCode>
                <c:ptCount val="5"/>
                <c:pt idx="3">
                  <c:v>7</c:v>
                </c:pt>
              </c:numCache>
            </c:numRef>
          </c:val>
          <c:extLst>
            <c:ext xmlns:c16="http://schemas.microsoft.com/office/drawing/2014/chart" uri="{C3380CC4-5D6E-409C-BE32-E72D297353CC}">
              <c16:uniqueId val="{00000000-F2C5-419D-8CC7-C8D18E99FBF5}"/>
            </c:ext>
          </c:extLst>
        </c:ser>
        <c:ser>
          <c:idx val="1"/>
          <c:order val="1"/>
          <c:tx>
            <c:strRef>
              <c:f>'pivot table'!$C$100:$C$101</c:f>
              <c:strCache>
                <c:ptCount val="1"/>
                <c:pt idx="0">
                  <c:v>92.5</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table'!$C$102:$C$112</c:f>
              <c:numCache>
                <c:formatCode>General</c:formatCode>
                <c:ptCount val="5"/>
                <c:pt idx="4">
                  <c:v>6</c:v>
                </c:pt>
              </c:numCache>
            </c:numRef>
          </c:val>
          <c:extLst>
            <c:ext xmlns:c16="http://schemas.microsoft.com/office/drawing/2014/chart" uri="{C3380CC4-5D6E-409C-BE32-E72D297353CC}">
              <c16:uniqueId val="{00000012-F2C5-419D-8CC7-C8D18E99FBF5}"/>
            </c:ext>
          </c:extLst>
        </c:ser>
        <c:ser>
          <c:idx val="2"/>
          <c:order val="2"/>
          <c:tx>
            <c:strRef>
              <c:f>'pivot table'!$D$100:$D$101</c:f>
              <c:strCache>
                <c:ptCount val="1"/>
                <c:pt idx="0">
                  <c:v>95.1</c:v>
                </c:pt>
              </c:strCache>
            </c:strRef>
          </c:tx>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table'!$D$102:$D$112</c:f>
              <c:numCache>
                <c:formatCode>General</c:formatCode>
                <c:ptCount val="5"/>
                <c:pt idx="2">
                  <c:v>3</c:v>
                </c:pt>
              </c:numCache>
            </c:numRef>
          </c:val>
          <c:extLst>
            <c:ext xmlns:c16="http://schemas.microsoft.com/office/drawing/2014/chart" uri="{C3380CC4-5D6E-409C-BE32-E72D297353CC}">
              <c16:uniqueId val="{00000013-F2C5-419D-8CC7-C8D18E99FBF5}"/>
            </c:ext>
          </c:extLst>
        </c:ser>
        <c:ser>
          <c:idx val="3"/>
          <c:order val="3"/>
          <c:tx>
            <c:strRef>
              <c:f>'pivot table'!$E$100:$E$101</c:f>
              <c:strCache>
                <c:ptCount val="1"/>
                <c:pt idx="0">
                  <c:v>96.7</c:v>
                </c:pt>
              </c:strCache>
            </c:strRef>
          </c:tx>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table'!$E$102:$E$112</c:f>
              <c:numCache>
                <c:formatCode>General</c:formatCode>
                <c:ptCount val="5"/>
                <c:pt idx="1">
                  <c:v>2</c:v>
                </c:pt>
              </c:numCache>
            </c:numRef>
          </c:val>
          <c:extLst>
            <c:ext xmlns:c16="http://schemas.microsoft.com/office/drawing/2014/chart" uri="{C3380CC4-5D6E-409C-BE32-E72D297353CC}">
              <c16:uniqueId val="{00000014-F2C5-419D-8CC7-C8D18E99FBF5}"/>
            </c:ext>
          </c:extLst>
        </c:ser>
        <c:ser>
          <c:idx val="4"/>
          <c:order val="4"/>
          <c:tx>
            <c:strRef>
              <c:f>'pivot table'!$F$100:$F$101</c:f>
              <c:strCache>
                <c:ptCount val="1"/>
                <c:pt idx="0">
                  <c:v>100</c:v>
                </c:pt>
              </c:strCache>
            </c:strRef>
          </c:tx>
          <c:spPr>
            <a:gradFill rotWithShape="1">
              <a:gsLst>
                <a:gs pos="0">
                  <a:schemeClr val="dk1">
                    <a:tint val="30000"/>
                    <a:satMod val="103000"/>
                    <a:lumMod val="102000"/>
                    <a:tint val="94000"/>
                  </a:schemeClr>
                </a:gs>
                <a:gs pos="50000">
                  <a:schemeClr val="dk1">
                    <a:tint val="30000"/>
                    <a:satMod val="110000"/>
                    <a:lumMod val="100000"/>
                    <a:shade val="100000"/>
                  </a:schemeClr>
                </a:gs>
                <a:gs pos="100000">
                  <a:schemeClr val="dk1">
                    <a:tint val="3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table'!$A$102:$A$112</c:f>
              <c:multiLvlStrCache>
                <c:ptCount val="5"/>
                <c:lvl>
                  <c:pt idx="0">
                    <c:v>Harvard University</c:v>
                  </c:pt>
                  <c:pt idx="1">
                    <c:v>Stanford University</c:v>
                  </c:pt>
                  <c:pt idx="2">
                    <c:v>Massachusetts Institute of Technology</c:v>
                  </c:pt>
                  <c:pt idx="3">
                    <c:v>Princeton University</c:v>
                  </c:pt>
                  <c:pt idx="4">
                    <c:v>University of California, Berkeley</c:v>
                  </c:pt>
                </c:lvl>
                <c:lvl>
                  <c:pt idx="0">
                    <c:v>1</c:v>
                  </c:pt>
                  <c:pt idx="1">
                    <c:v>2</c:v>
                  </c:pt>
                  <c:pt idx="2">
                    <c:v>3</c:v>
                  </c:pt>
                  <c:pt idx="3">
                    <c:v>4</c:v>
                  </c:pt>
                  <c:pt idx="4">
                    <c:v>5</c:v>
                  </c:pt>
                </c:lvl>
              </c:multiLvlStrCache>
            </c:multiLvlStrRef>
          </c:cat>
          <c:val>
            <c:numRef>
              <c:f>'pivot table'!$F$102:$F$112</c:f>
              <c:numCache>
                <c:formatCode>General</c:formatCode>
                <c:ptCount val="5"/>
                <c:pt idx="0">
                  <c:v>1</c:v>
                </c:pt>
              </c:numCache>
            </c:numRef>
          </c:val>
          <c:extLst>
            <c:ext xmlns:c16="http://schemas.microsoft.com/office/drawing/2014/chart" uri="{C3380CC4-5D6E-409C-BE32-E72D297353CC}">
              <c16:uniqueId val="{00000015-F2C5-419D-8CC7-C8D18E99FBF5}"/>
            </c:ext>
          </c:extLst>
        </c:ser>
        <c:dLbls>
          <c:showLegendKey val="0"/>
          <c:showVal val="0"/>
          <c:showCatName val="0"/>
          <c:showSerName val="0"/>
          <c:showPercent val="0"/>
          <c:showBubbleSize val="0"/>
        </c:dLbls>
        <c:axId val="608270320"/>
        <c:axId val="608262160"/>
      </c:areaChart>
      <c:catAx>
        <c:axId val="6082703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262160"/>
        <c:crosses val="autoZero"/>
        <c:auto val="1"/>
        <c:lblAlgn val="ctr"/>
        <c:lblOffset val="100"/>
        <c:noMultiLvlLbl val="0"/>
      </c:catAx>
      <c:valAx>
        <c:axId val="608262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2703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table'!$L$97:$N$97</c:f>
              <c:strCache>
                <c:ptCount val="3"/>
                <c:pt idx="0">
                  <c:v>81.7</c:v>
                </c:pt>
                <c:pt idx="1">
                  <c:v>61.0666922</c:v>
                </c:pt>
                <c:pt idx="2">
                  <c:v>-107.991707</c:v>
                </c:pt>
              </c:strCache>
            </c:strRef>
          </c:tx>
          <c:spPr>
            <a:solidFill>
              <a:schemeClr val="accent1"/>
            </a:solidFill>
            <a:ln>
              <a:noFill/>
            </a:ln>
            <a:effectLst/>
            <a:sp3d/>
          </c:spPr>
          <c:invertIfNegative val="0"/>
          <c:cat>
            <c:strRef>
              <c:f>'pivot table'!$O$1:$O$96</c:f>
              <c:strCache>
                <c:ptCount val="96"/>
                <c:pt idx="0">
                  <c:v>high/low</c:v>
                </c:pt>
                <c:pt idx="1">
                  <c:v>HIGH</c:v>
                </c:pt>
                <c:pt idx="2">
                  <c:v>HIGH</c:v>
                </c:pt>
                <c:pt idx="3">
                  <c:v>HIGH</c:v>
                </c:pt>
                <c:pt idx="4">
                  <c:v>HIGH</c:v>
                </c:pt>
                <c:pt idx="5">
                  <c:v>HIGH</c:v>
                </c:pt>
                <c:pt idx="6">
                  <c:v>HIGH</c:v>
                </c:pt>
                <c:pt idx="7">
                  <c:v>HIGH</c:v>
                </c:pt>
                <c:pt idx="8">
                  <c:v>HIGH</c:v>
                </c:pt>
                <c:pt idx="9">
                  <c:v>HIGH</c:v>
                </c:pt>
                <c:pt idx="10">
                  <c:v>HIGH</c:v>
                </c:pt>
                <c:pt idx="11">
                  <c:v>HIGH</c:v>
                </c:pt>
                <c:pt idx="12">
                  <c:v>MEDIUM</c:v>
                </c:pt>
                <c:pt idx="13">
                  <c:v>MEDIUM</c:v>
                </c:pt>
                <c:pt idx="14">
                  <c:v>MEDIUM</c:v>
                </c:pt>
                <c:pt idx="15">
                  <c:v>MEDIUM</c:v>
                </c:pt>
                <c:pt idx="16">
                  <c:v>MEDIUM</c:v>
                </c:pt>
                <c:pt idx="17">
                  <c:v>MEDIUM</c:v>
                </c:pt>
                <c:pt idx="18">
                  <c:v>MEDIUM</c:v>
                </c:pt>
                <c:pt idx="19">
                  <c:v>MEDIUM</c:v>
                </c:pt>
                <c:pt idx="20">
                  <c:v>MEDIUM</c:v>
                </c:pt>
                <c:pt idx="21">
                  <c:v>MEDIUM</c:v>
                </c:pt>
                <c:pt idx="22">
                  <c:v>MEDIUM</c:v>
                </c:pt>
                <c:pt idx="23">
                  <c:v>MEDIUM</c:v>
                </c:pt>
                <c:pt idx="24">
                  <c:v>MEDIUM</c:v>
                </c:pt>
                <c:pt idx="25">
                  <c:v>MEDIUM</c:v>
                </c:pt>
                <c:pt idx="26">
                  <c:v>MEDIUM</c:v>
                </c:pt>
                <c:pt idx="27">
                  <c:v>MEDIUM</c:v>
                </c:pt>
                <c:pt idx="28">
                  <c:v>MEDIUM</c:v>
                </c:pt>
                <c:pt idx="29">
                  <c:v>MEDIUM</c:v>
                </c:pt>
                <c:pt idx="30">
                  <c:v>MEDIUM</c:v>
                </c:pt>
                <c:pt idx="31">
                  <c:v>MEDIUM</c:v>
                </c:pt>
                <c:pt idx="32">
                  <c:v>MEDIUM</c:v>
                </c:pt>
                <c:pt idx="33">
                  <c:v>MEDIUM</c:v>
                </c:pt>
                <c:pt idx="34">
                  <c:v>MEDIUM</c:v>
                </c:pt>
                <c:pt idx="35">
                  <c:v>MEDIUM</c:v>
                </c:pt>
                <c:pt idx="36">
                  <c:v>MEDIUM</c:v>
                </c:pt>
                <c:pt idx="37">
                  <c:v>MEDIUM</c:v>
                </c:pt>
                <c:pt idx="38">
                  <c:v>MEDIUM</c:v>
                </c:pt>
                <c:pt idx="39">
                  <c:v>MEDIUM</c:v>
                </c:pt>
                <c:pt idx="40">
                  <c:v>MEDIUM</c:v>
                </c:pt>
                <c:pt idx="41">
                  <c:v>MEDIUM</c:v>
                </c:pt>
                <c:pt idx="42">
                  <c:v>MEDIUM</c:v>
                </c:pt>
                <c:pt idx="43">
                  <c:v>MEDIUM</c:v>
                </c:pt>
                <c:pt idx="44">
                  <c:v>MEDIUM</c:v>
                </c:pt>
                <c:pt idx="45">
                  <c:v>MEDIUM</c:v>
                </c:pt>
                <c:pt idx="46">
                  <c:v>MEDIUM</c:v>
                </c:pt>
                <c:pt idx="47">
                  <c:v>MEDIUM</c:v>
                </c:pt>
                <c:pt idx="48">
                  <c:v>MEDIUM</c:v>
                </c:pt>
                <c:pt idx="49">
                  <c:v>MEDIUM</c:v>
                </c:pt>
                <c:pt idx="50">
                  <c:v>MEDIUM</c:v>
                </c:pt>
                <c:pt idx="51">
                  <c:v>MEDIUM</c:v>
                </c:pt>
                <c:pt idx="52">
                  <c:v>MEDIUM</c:v>
                </c:pt>
                <c:pt idx="53">
                  <c:v>MEDIUM</c:v>
                </c:pt>
                <c:pt idx="54">
                  <c:v>MEDIUM</c:v>
                </c:pt>
                <c:pt idx="55">
                  <c:v>MEDIUM</c:v>
                </c:pt>
                <c:pt idx="56">
                  <c:v>MEDIUM</c:v>
                </c:pt>
                <c:pt idx="57">
                  <c:v>MEDIUM</c:v>
                </c:pt>
                <c:pt idx="58">
                  <c:v>MEDIUM</c:v>
                </c:pt>
                <c:pt idx="59">
                  <c:v>MEDIUM</c:v>
                </c:pt>
                <c:pt idx="60">
                  <c:v>MEDIUM</c:v>
                </c:pt>
                <c:pt idx="61">
                  <c:v>MEDIUM</c:v>
                </c:pt>
                <c:pt idx="62">
                  <c:v>MEDIUM</c:v>
                </c:pt>
                <c:pt idx="63">
                  <c:v>MEDIUM</c:v>
                </c:pt>
                <c:pt idx="64">
                  <c:v>MEDIUM</c:v>
                </c:pt>
                <c:pt idx="65">
                  <c:v>MEDIUM</c:v>
                </c:pt>
                <c:pt idx="66">
                  <c:v>MEDIUM</c:v>
                </c:pt>
                <c:pt idx="67">
                  <c:v>MEDIUM</c:v>
                </c:pt>
                <c:pt idx="68">
                  <c:v>MEDIUM</c:v>
                </c:pt>
                <c:pt idx="69">
                  <c:v>MEDIUM</c:v>
                </c:pt>
                <c:pt idx="70">
                  <c:v>MEDIUM</c:v>
                </c:pt>
                <c:pt idx="71">
                  <c:v>MEDIUM</c:v>
                </c:pt>
                <c:pt idx="72">
                  <c:v>MEDIUM</c:v>
                </c:pt>
                <c:pt idx="73">
                  <c:v>MEDIUM</c:v>
                </c:pt>
                <c:pt idx="74">
                  <c:v>MEDIUM</c:v>
                </c:pt>
                <c:pt idx="75">
                  <c:v>MEDIUM</c:v>
                </c:pt>
                <c:pt idx="76">
                  <c:v>MEDIUM</c:v>
                </c:pt>
                <c:pt idx="77">
                  <c:v>MEDIUM</c:v>
                </c:pt>
                <c:pt idx="78">
                  <c:v>MEDIUM</c:v>
                </c:pt>
                <c:pt idx="79">
                  <c:v>MEDIUM</c:v>
                </c:pt>
                <c:pt idx="80">
                  <c:v>MEDIUM</c:v>
                </c:pt>
                <c:pt idx="81">
                  <c:v>MEDIUM</c:v>
                </c:pt>
                <c:pt idx="82">
                  <c:v>MEDIUM</c:v>
                </c:pt>
                <c:pt idx="83">
                  <c:v>MEDIUM</c:v>
                </c:pt>
                <c:pt idx="84">
                  <c:v>MEDIUM</c:v>
                </c:pt>
                <c:pt idx="85">
                  <c:v>MEDIUM</c:v>
                </c:pt>
                <c:pt idx="86">
                  <c:v>MEDIUM</c:v>
                </c:pt>
                <c:pt idx="87">
                  <c:v>MEDIUM</c:v>
                </c:pt>
                <c:pt idx="88">
                  <c:v>MEDIUM</c:v>
                </c:pt>
                <c:pt idx="89">
                  <c:v>MEDIUM</c:v>
                </c:pt>
                <c:pt idx="90">
                  <c:v>MEDIUM</c:v>
                </c:pt>
                <c:pt idx="91">
                  <c:v>MEDIUM</c:v>
                </c:pt>
                <c:pt idx="92">
                  <c:v>MEDIUM</c:v>
                </c:pt>
                <c:pt idx="93">
                  <c:v>MEDIUM</c:v>
                </c:pt>
                <c:pt idx="94">
                  <c:v>MEDIUM</c:v>
                </c:pt>
                <c:pt idx="95">
                  <c:v>MEDIUM</c:v>
                </c:pt>
              </c:strCache>
            </c:strRef>
          </c:cat>
          <c:val>
            <c:numRef>
              <c:f>'pivot table'!$O$97</c:f>
              <c:numCache>
                <c:formatCode>General</c:formatCode>
                <c:ptCount val="1"/>
                <c:pt idx="0">
                  <c:v>0</c:v>
                </c:pt>
              </c:numCache>
            </c:numRef>
          </c:val>
          <c:extLst>
            <c:ext xmlns:c16="http://schemas.microsoft.com/office/drawing/2014/chart" uri="{C3380CC4-5D6E-409C-BE32-E72D297353CC}">
              <c16:uniqueId val="{00000000-5809-4E2C-BA3D-EBF31C8587F0}"/>
            </c:ext>
          </c:extLst>
        </c:ser>
        <c:dLbls>
          <c:showLegendKey val="0"/>
          <c:showVal val="0"/>
          <c:showCatName val="0"/>
          <c:showSerName val="0"/>
          <c:showPercent val="0"/>
          <c:showBubbleSize val="0"/>
        </c:dLbls>
        <c:gapWidth val="150"/>
        <c:shape val="box"/>
        <c:axId val="902018384"/>
        <c:axId val="902022224"/>
        <c:axId val="0"/>
      </c:bar3DChart>
      <c:catAx>
        <c:axId val="90201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22224"/>
        <c:crosses val="autoZero"/>
        <c:auto val="1"/>
        <c:lblAlgn val="ctr"/>
        <c:lblOffset val="100"/>
        <c:noMultiLvlLbl val="0"/>
      </c:catAx>
      <c:valAx>
        <c:axId val="902022224"/>
        <c:scaling>
          <c:orientation val="minMax"/>
        </c:scaling>
        <c:delete val="0"/>
        <c:axPos val="l"/>
        <c:majorGridlines>
          <c:spPr>
            <a:ln w="9525" cap="flat" cmpd="sng" algn="ctr">
              <a:solidFill>
                <a:srgbClr val="FF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1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542925</xdr:colOff>
      <xdr:row>107</xdr:row>
      <xdr:rowOff>114299</xdr:rowOff>
    </xdr:from>
    <xdr:to>
      <xdr:col>7</xdr:col>
      <xdr:colOff>523875</xdr:colOff>
      <xdr:row>117</xdr:row>
      <xdr:rowOff>9524</xdr:rowOff>
    </xdr:to>
    <xdr:sp macro="" textlink="">
      <xdr:nvSpPr>
        <xdr:cNvPr id="4" name="Rectangle 3">
          <a:extLst>
            <a:ext uri="{FF2B5EF4-FFF2-40B4-BE49-F238E27FC236}">
              <a16:creationId xmlns:a16="http://schemas.microsoft.com/office/drawing/2014/main" id="{01E37209-8980-F8D7-07EC-A08A609C8B60}"/>
            </a:ext>
          </a:extLst>
        </xdr:cNvPr>
        <xdr:cNvSpPr/>
      </xdr:nvSpPr>
      <xdr:spPr>
        <a:xfrm>
          <a:off x="1152525" y="20497799"/>
          <a:ext cx="3638550" cy="1800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=import dataset=</a:t>
          </a:r>
        </a:p>
        <a:p>
          <a:pPr algn="l"/>
          <a:r>
            <a:rPr lang="en-US" sz="1100"/>
            <a:t>=remove</a:t>
          </a:r>
          <a:r>
            <a:rPr lang="en-US" sz="1100" baseline="0"/>
            <a:t> duplicate rows</a:t>
          </a:r>
          <a:endParaRPr lang="en-US" sz="1100"/>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116</xdr:row>
      <xdr:rowOff>152400</xdr:rowOff>
    </xdr:from>
    <xdr:to>
      <xdr:col>6</xdr:col>
      <xdr:colOff>685800</xdr:colOff>
      <xdr:row>130</xdr:row>
      <xdr:rowOff>95250</xdr:rowOff>
    </xdr:to>
    <xdr:graphicFrame macro="">
      <xdr:nvGraphicFramePr>
        <xdr:cNvPr id="2" name="Chart 1">
          <a:extLst>
            <a:ext uri="{FF2B5EF4-FFF2-40B4-BE49-F238E27FC236}">
              <a16:creationId xmlns:a16="http://schemas.microsoft.com/office/drawing/2014/main" id="{DFC00BE1-30BB-F1AA-7100-8B6F3BE566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171451</xdr:colOff>
      <xdr:row>116</xdr:row>
      <xdr:rowOff>152400</xdr:rowOff>
    </xdr:from>
    <xdr:to>
      <xdr:col>12</xdr:col>
      <xdr:colOff>1181101</xdr:colOff>
      <xdr:row>130</xdr:row>
      <xdr:rowOff>85724</xdr:rowOff>
    </xdr:to>
    <xdr:graphicFrame macro="">
      <xdr:nvGraphicFramePr>
        <xdr:cNvPr id="3" name="Chart 2">
          <a:extLst>
            <a:ext uri="{FF2B5EF4-FFF2-40B4-BE49-F238E27FC236}">
              <a16:creationId xmlns:a16="http://schemas.microsoft.com/office/drawing/2014/main" id="{9B3A3899-44D9-0EE9-0121-828F769CA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104775</xdr:colOff>
      <xdr:row>99</xdr:row>
      <xdr:rowOff>171450</xdr:rowOff>
    </xdr:from>
    <xdr:to>
      <xdr:col>11</xdr:col>
      <xdr:colOff>752474</xdr:colOff>
      <xdr:row>113</xdr:row>
      <xdr:rowOff>28575</xdr:rowOff>
    </xdr:to>
    <mc:AlternateContent xmlns:mc="http://schemas.openxmlformats.org/markup-compatibility/2006">
      <mc:Choice xmlns:a14="http://schemas.microsoft.com/office/drawing/2010/main" Requires="a14">
        <xdr:graphicFrame macro="">
          <xdr:nvGraphicFramePr>
            <xdr:cNvPr id="20" name="Score">
              <a:extLst>
                <a:ext uri="{FF2B5EF4-FFF2-40B4-BE49-F238E27FC236}">
                  <a16:creationId xmlns:a16="http://schemas.microsoft.com/office/drawing/2014/main" id="{DD0CB369-917E-89EA-AD5C-8915432F78D5}"/>
                </a:ext>
              </a:extLst>
            </xdr:cNvPr>
            <xdr:cNvGraphicFramePr/>
          </xdr:nvGraphicFramePr>
          <xdr:xfrm>
            <a:off x="0" y="0"/>
            <a:ext cx="0" cy="0"/>
          </xdr:xfrm>
          <a:graphic>
            <a:graphicData uri="http://schemas.microsoft.com/office/drawing/2010/slicer">
              <sle:slicer xmlns:sle="http://schemas.microsoft.com/office/drawing/2010/slicer" name="Score"/>
            </a:graphicData>
          </a:graphic>
        </xdr:graphicFrame>
      </mc:Choice>
      <mc:Fallback>
        <xdr:sp macro="" textlink="">
          <xdr:nvSpPr>
            <xdr:cNvPr id="0" name=""/>
            <xdr:cNvSpPr>
              <a:spLocks noTextEdit="1"/>
            </xdr:cNvSpPr>
          </xdr:nvSpPr>
          <xdr:spPr>
            <a:xfrm>
              <a:off x="11801475" y="19030950"/>
              <a:ext cx="138112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285750</xdr:colOff>
      <xdr:row>116</xdr:row>
      <xdr:rowOff>180975</xdr:rowOff>
    </xdr:from>
    <xdr:to>
      <xdr:col>18</xdr:col>
      <xdr:colOff>114299</xdr:colOff>
      <xdr:row>130</xdr:row>
      <xdr:rowOff>47625</xdr:rowOff>
    </xdr:to>
    <xdr:graphicFrame macro="">
      <xdr:nvGraphicFramePr>
        <xdr:cNvPr id="25" name="Chart 24">
          <a:extLst>
            <a:ext uri="{FF2B5EF4-FFF2-40B4-BE49-F238E27FC236}">
              <a16:creationId xmlns:a16="http://schemas.microsoft.com/office/drawing/2014/main" id="{CA0CB095-310A-E5DA-65D9-91B920C9B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6.568708101855" createdVersion="8" refreshedVersion="8" minRefreshableVersion="3" recordCount="96" xr:uid="{1EBBB0AD-6D76-44C9-9CBF-67781F204D2E}">
  <cacheSource type="worksheet">
    <worksheetSource ref="A1:N97" sheet="pivot table"/>
  </cacheSource>
  <cacheFields count="14">
    <cacheField name="World Rank" numFmtId="0">
      <sharedItems containsSemiMixedTypes="0" containsString="0" containsNumber="1" containsInteger="1" minValue="1" maxValue="96" count="9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sharedItems>
    </cacheField>
    <cacheField name="Institution" numFmtId="0">
      <sharedItems count="96">
        <s v="Harvard University"/>
        <s v="Stanford University"/>
        <s v="Massachusetts Institute of Technology"/>
        <s v="University of Cambridge"/>
        <s v="University of Oxford"/>
        <s v="University of California, Berkeley"/>
        <s v="Princeton University"/>
        <s v="Columbia University"/>
        <s v="California Institute of Technology"/>
        <s v="University of Chicago"/>
        <s v="Yale University"/>
        <s v="University of Tokyo"/>
        <s v="University of Pennsylvania"/>
        <s v="Cornell University"/>
        <s v="University of California, Los Angeles"/>
        <s v="Johns Hopkins University"/>
        <s v="University of Toronto"/>
        <s v="University of Michigan, Ann Arbor"/>
        <s v="University of Washington - Seattle"/>
        <s v="University of California, San Diego"/>
        <s v="University College London"/>
        <s v="University of California, San Francisco"/>
        <s v="Northwestern University"/>
        <s v="Duke University"/>
        <s v="New York University"/>
        <s v="Kyoto University"/>
        <s v="University of WisconsinMadison"/>
        <s v="ETH Zurich"/>
        <s v="Sorbonne University"/>
        <s v="Imperial College London"/>
        <s v="University of Texas at Austin"/>
        <s v="University of Illinois at UrbanaChampaign"/>
        <s v="University of North Carolina at Chapel Hill"/>
        <s v="University of Edinburgh"/>
        <s v="University of Minnesota Twin Cities"/>
        <s v="Washington University in St. Louis"/>
        <s v="McGill University"/>
        <s v="University of British Columbia"/>
        <s v="University of Copenhagen"/>
        <s v="Ohio State University"/>
        <s v="Rutgers University-New Brunswick"/>
        <s v="University of California, Davis"/>
        <s v="Pennsylvania State University"/>
        <s v="University of Manchester"/>
        <s v="Weizmann Institute of Science"/>
        <s v="Heidelberg University"/>
        <s v="University of Maryland, College Park"/>
        <s v="Ludwig Maximilian University of Munich"/>
        <s v="Karolinska Institute"/>
        <s v="University of Colorado Boulder"/>
        <s v="University of Southern California"/>
        <s v="University of Arizona"/>
        <s v="Osaka University"/>
        <s v="University of Paris-Sud"/>
        <s v="University of Geneva"/>
        <s v="Boston University"/>
        <s v="University of Melbourne"/>
        <s v="Brown University"/>
        <s v="University of California, Irvine"/>
        <s v="Seoul National University"/>
        <s v="Hebrew University of Jerusalem"/>
        <s v="University of Florida"/>
        <s v="Purdue University, West Lafayette"/>
        <s v="Vanderbilt University"/>
        <s v="University of Bristol"/>
        <s v="University of Texas Southwestern Medical Center"/>
        <s v="Sapienza University of Rome"/>
        <s v="King's College London"/>
        <s v="University of Zurich"/>
        <s v="University of California, Santa Barbara"/>
        <s v="University of Sydney"/>
        <s v="Utrecht University"/>
        <s v="University of Pittsburgh"/>
        <s v="University of Queensland"/>
        <s v="University of Oslo"/>
        <s v="Rockefeller University"/>
        <s v="University of São Paulo"/>
        <s v="Texas A&amp;M University, College Station"/>
        <s v="University of Virginia"/>
        <s v="Emory University"/>
        <s v="Free University of Berlin"/>
        <s v="Australian National University"/>
        <s v="University of Utah"/>
        <s v="Paris Diderot University"/>
        <s v="Tel Aviv University"/>
        <s v="Uppsala University"/>
        <s v="University of Barcelona"/>
        <s v="Aarhus University"/>
        <s v="University of Texas MD Anderson Cancer Center"/>
        <s v="Leiden University"/>
        <s v="Carnegie Mellon University"/>
        <s v="Peking University"/>
        <s v="University of Helsinki"/>
        <s v="Baylor College of Medicine"/>
        <s v="Lund University"/>
        <s v="University of Alberta"/>
      </sharedItems>
    </cacheField>
    <cacheField name="Location" numFmtId="0">
      <sharedItems count="19">
        <s v="USA"/>
        <s v="United Kingdom"/>
        <s v="Japan"/>
        <s v="Canada"/>
        <s v="Switzerland"/>
        <s v="France"/>
        <s v="Denmark"/>
        <s v="Israel"/>
        <s v="Germany"/>
        <s v="Sweden"/>
        <s v="Australia"/>
        <s v="South Korea"/>
        <s v="Italy"/>
        <s v="Netherlands"/>
        <s v="Norway"/>
        <s v="Brazil"/>
        <s v="Spain"/>
        <s v="China"/>
        <s v="Finland"/>
      </sharedItems>
    </cacheField>
    <cacheField name="National Rank" numFmtId="0">
      <sharedItems containsSemiMixedTypes="0" containsString="0" containsNumber="1" containsInteger="1" minValue="1" maxValue="51" count="5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sharedItems>
    </cacheField>
    <cacheField name="Quality of Education" numFmtId="0">
      <sharedItems containsSemiMixedTypes="0" containsString="0" containsNumber="1" containsInteger="1" minValue="1" maxValue="667" count="92">
        <n v="2"/>
        <n v="10"/>
        <n v="3"/>
        <n v="5"/>
        <n v="9"/>
        <n v="7"/>
        <n v="4"/>
        <n v="16"/>
        <n v="1"/>
        <n v="13"/>
        <n v="11"/>
        <n v="17"/>
        <n v="31"/>
        <n v="14"/>
        <n v="58"/>
        <n v="24"/>
        <n v="86"/>
        <n v="47"/>
        <n v="75"/>
        <n v="37"/>
        <n v="32"/>
        <n v="667"/>
        <n v="129"/>
        <n v="98"/>
        <n v="64"/>
        <n v="25"/>
        <n v="65"/>
        <n v="29"/>
        <n v="46"/>
        <n v="93"/>
        <n v="108"/>
        <n v="40"/>
        <n v="205"/>
        <n v="61"/>
        <n v="131"/>
        <n v="206"/>
        <n v="68"/>
        <n v="173"/>
        <n v="302"/>
        <n v="165"/>
        <n v="212"/>
        <n v="83"/>
        <n v="374"/>
        <n v="171"/>
        <n v="8"/>
        <n v="71"/>
        <n v="103"/>
        <n v="91"/>
        <n v="162"/>
        <n v="134"/>
        <n v="215"/>
        <n v="166"/>
        <n v="70"/>
        <n v="49"/>
        <n v="35"/>
        <n v="572"/>
        <n v="232"/>
        <n v="95"/>
        <n v="264"/>
        <n v="19"/>
        <n v="472"/>
        <n v="96"/>
        <n v="148"/>
        <n v="186"/>
        <n v="33"/>
        <n v="117"/>
        <n v="43"/>
        <n v="267"/>
        <n v="149"/>
        <n v="231"/>
        <n v="122"/>
        <n v="187"/>
        <n v="310"/>
        <n v="97"/>
        <n v="15"/>
        <n v="583"/>
        <n v="625"/>
        <n v="271"/>
        <n v="112"/>
        <n v="188"/>
        <n v="169"/>
        <n v="192"/>
        <n v="105"/>
        <n v="102"/>
        <n v="386"/>
        <n v="589"/>
        <n v="228"/>
        <n v="34"/>
        <n v="340"/>
        <n v="109"/>
        <n v="294"/>
        <n v="281"/>
      </sharedItems>
    </cacheField>
    <cacheField name="Alumni Employment" numFmtId="0">
      <sharedItems containsSemiMixedTypes="0" containsString="0" containsNumber="1" containsInteger="1" minValue="1" maxValue="1001" count="84">
        <n v="1"/>
        <n v="3"/>
        <n v="11"/>
        <n v="19"/>
        <n v="25"/>
        <n v="52"/>
        <n v="15"/>
        <n v="13"/>
        <n v="200"/>
        <n v="22"/>
        <n v="34"/>
        <n v="8"/>
        <n v="9"/>
        <n v="28"/>
        <n v="63"/>
        <n v="159"/>
        <n v="157"/>
        <n v="38"/>
        <n v="220"/>
        <n v="1001"/>
        <n v="739"/>
        <n v="18"/>
        <n v="46"/>
        <n v="40"/>
        <n v="29"/>
        <n v="79"/>
        <n v="98"/>
        <n v="344"/>
        <n v="103"/>
        <n v="62"/>
        <n v="150"/>
        <n v="120"/>
        <n v="325"/>
        <n v="302"/>
        <n v="161"/>
        <n v="86"/>
        <n v="699"/>
        <n v="364"/>
        <n v="254"/>
        <n v="101"/>
        <n v="579"/>
        <n v="168"/>
        <n v="227"/>
        <n v="807"/>
        <n v="480"/>
        <n v="266"/>
        <n v="170"/>
        <n v="111"/>
        <n v="164"/>
        <n v="65"/>
        <n v="815"/>
        <n v="381"/>
        <n v="112"/>
        <n v="408"/>
        <n v="50"/>
        <n v="20"/>
        <n v="400"/>
        <n v="485"/>
        <n v="83"/>
        <n v="91"/>
        <n v="296"/>
        <n v="486"/>
        <n v="341"/>
        <n v="771"/>
        <n v="596"/>
        <n v="590"/>
        <n v="352"/>
        <n v="233"/>
        <n v="541"/>
        <n v="633"/>
        <n v="256"/>
        <n v="183"/>
        <n v="31"/>
        <n v="197"/>
        <n v="666"/>
        <n v="187"/>
        <n v="143"/>
        <n v="548"/>
        <n v="472"/>
        <n v="379"/>
        <n v="145"/>
        <n v="67"/>
        <n v="753"/>
        <n v="371"/>
      </sharedItems>
    </cacheField>
    <cacheField name="Quality of Faculty" numFmtId="0">
      <sharedItems containsSemiMixedTypes="0" containsString="0" containsNumber="1" containsInteger="1" minValue="1" maxValue="304" count="93">
        <n v="1"/>
        <n v="2"/>
        <n v="3"/>
        <n v="6"/>
        <n v="10"/>
        <n v="5"/>
        <n v="4"/>
        <n v="8"/>
        <n v="7"/>
        <n v="9"/>
        <n v="12"/>
        <n v="33"/>
        <n v="30"/>
        <n v="19"/>
        <n v="11"/>
        <n v="17"/>
        <n v="23"/>
        <n v="68"/>
        <n v="26"/>
        <n v="16"/>
        <n v="28"/>
        <n v="13"/>
        <n v="44"/>
        <n v="47"/>
        <n v="18"/>
        <n v="24"/>
        <n v="32"/>
        <n v="20"/>
        <n v="56"/>
        <n v="43"/>
        <n v="29"/>
        <n v="27"/>
        <n v="72"/>
        <n v="36"/>
        <n v="76"/>
        <n v="64"/>
        <n v="65"/>
        <n v="78"/>
        <n v="79"/>
        <n v="70"/>
        <n v="35"/>
        <n v="75"/>
        <n v="60"/>
        <n v="63"/>
        <n v="22"/>
        <n v="51"/>
        <n v="55"/>
        <n v="83"/>
        <n v="46"/>
        <n v="41"/>
        <n v="40"/>
        <n v="53"/>
        <n v="61"/>
        <n v="38"/>
        <n v="31"/>
        <n v="106"/>
        <n v="180"/>
        <n v="50"/>
        <n v="42"/>
        <n v="304"/>
        <n v="15"/>
        <n v="113"/>
        <n v="58"/>
        <n v="140"/>
        <n v="48"/>
        <n v="39"/>
        <n v="34"/>
        <n v="110"/>
        <n v="108"/>
        <n v="25"/>
        <n v="208"/>
        <n v="137"/>
        <n v="181"/>
        <n v="52"/>
        <n v="14"/>
        <n v="109"/>
        <n v="57"/>
        <n v="168"/>
        <n v="164"/>
        <n v="124"/>
        <n v="37"/>
        <n v="80"/>
        <n v="101"/>
        <n v="59"/>
        <n v="84"/>
        <n v="114"/>
        <n v="91"/>
        <n v="118"/>
        <n v="21"/>
        <n v="135"/>
        <n v="141"/>
        <n v="122"/>
        <n v="192"/>
      </sharedItems>
    </cacheField>
    <cacheField name="Research Output" numFmtId="0">
      <sharedItems containsSemiMixedTypes="0" containsString="0" containsNumber="1" containsInteger="1" minValue="1" maxValue="786" count="96">
        <n v="1"/>
        <n v="10"/>
        <n v="30"/>
        <n v="12"/>
        <n v="9"/>
        <n v="18"/>
        <n v="146"/>
        <n v="20"/>
        <n v="127"/>
        <n v="39"/>
        <n v="37"/>
        <n v="7"/>
        <n v="16"/>
        <n v="31"/>
        <n v="13"/>
        <n v="8"/>
        <n v="2"/>
        <n v="3"/>
        <n v="11"/>
        <n v="28"/>
        <n v="5"/>
        <n v="45"/>
        <n v="52"/>
        <n v="36"/>
        <n v="70"/>
        <n v="29"/>
        <n v="32"/>
        <n v="57"/>
        <n v="6"/>
        <n v="21"/>
        <n v="73"/>
        <n v="65"/>
        <n v="50"/>
        <n v="72"/>
        <n v="24"/>
        <n v="81"/>
        <n v="44"/>
        <n v="25"/>
        <n v="26"/>
        <n v="33"/>
        <n v="74"/>
        <n v="42"/>
        <n v="43"/>
        <n v="49"/>
        <n v="445"/>
        <n v="63"/>
        <n v="92"/>
        <n v="53"/>
        <n v="67"/>
        <n v="145"/>
        <n v="121"/>
        <n v="111"/>
        <n v="59"/>
        <n v="103"/>
        <n v="147"/>
        <n v="113"/>
        <n v="35"/>
        <n v="186"/>
        <n v="133"/>
        <n v="19"/>
        <n v="177"/>
        <n v="40"/>
        <n v="94"/>
        <n v="95"/>
        <n v="126"/>
        <n v="244"/>
        <n v="61"/>
        <n v="88"/>
        <n v="80"/>
        <n v="229"/>
        <n v="27"/>
        <n v="58"/>
        <n v="34"/>
        <n v="46"/>
        <n v="99"/>
        <n v="786"/>
        <n v="4"/>
        <n v="85"/>
        <n v="151"/>
        <n v="101"/>
        <n v="64"/>
        <n v="153"/>
        <n v="125"/>
        <n v="122"/>
        <n v="108"/>
        <n v="107"/>
        <n v="47"/>
        <n v="83"/>
        <n v="158"/>
        <n v="118"/>
        <n v="318"/>
        <n v="23"/>
        <n v="82"/>
        <n v="161"/>
        <n v="90"/>
        <n v="62"/>
      </sharedItems>
    </cacheField>
    <cacheField name="Quality Publications" numFmtId="0">
      <sharedItems containsSemiMixedTypes="0" containsString="0" containsNumber="1" containsInteger="1" minValue="1" maxValue="434" count="96">
        <n v="1"/>
        <n v="4"/>
        <n v="15"/>
        <n v="8"/>
        <n v="5"/>
        <n v="12"/>
        <n v="99"/>
        <n v="14"/>
        <n v="81"/>
        <n v="22"/>
        <n v="19"/>
        <n v="17"/>
        <n v="11"/>
        <n v="24"/>
        <n v="10"/>
        <n v="6"/>
        <n v="2"/>
        <n v="3"/>
        <n v="9"/>
        <n v="16"/>
        <n v="7"/>
        <n v="23"/>
        <n v="28"/>
        <n v="20"/>
        <n v="50"/>
        <n v="45"/>
        <n v="26"/>
        <n v="42"/>
        <n v="13"/>
        <n v="18"/>
        <n v="58"/>
        <n v="55"/>
        <n v="30"/>
        <n v="56"/>
        <n v="21"/>
        <n v="46"/>
        <n v="36"/>
        <n v="27"/>
        <n v="29"/>
        <n v="31"/>
        <n v="67"/>
        <n v="35"/>
        <n v="40"/>
        <n v="48"/>
        <n v="292"/>
        <n v="64"/>
        <n v="72"/>
        <n v="57"/>
        <n v="53"/>
        <n v="111"/>
        <n v="88"/>
        <n v="96"/>
        <n v="82"/>
        <n v="86"/>
        <n v="130"/>
        <n v="75"/>
        <n v="34"/>
        <n v="125"/>
        <n v="97"/>
        <n v="39"/>
        <n v="143"/>
        <n v="44"/>
        <n v="93"/>
        <n v="63"/>
        <n v="100"/>
        <n v="151"/>
        <n v="103"/>
        <n v="65"/>
        <n v="70"/>
        <n v="146"/>
        <n v="33"/>
        <n v="43"/>
        <n v="25"/>
        <n v="51"/>
        <n v="102"/>
        <n v="434"/>
        <n v="60"/>
        <n v="95"/>
        <n v="116"/>
        <n v="66"/>
        <n v="76"/>
        <n v="136"/>
        <n v="105"/>
        <n v="108"/>
        <n v="115"/>
        <n v="107"/>
        <n v="54"/>
        <n v="79"/>
        <n v="104"/>
        <n v="78"/>
        <n v="228"/>
        <n v="38"/>
        <n v="83"/>
        <n v="118"/>
        <n v="90"/>
        <n v="69"/>
      </sharedItems>
    </cacheField>
    <cacheField name="Influence" numFmtId="0">
      <sharedItems containsSemiMixedTypes="0" containsString="0" containsNumber="1" containsInteger="1" minValue="1" maxValue="221" count="96">
        <n v="1"/>
        <n v="3"/>
        <n v="2"/>
        <n v="6"/>
        <n v="7"/>
        <n v="4"/>
        <n v="28"/>
        <n v="10"/>
        <n v="13"/>
        <n v="18"/>
        <n v="11"/>
        <n v="23"/>
        <n v="17"/>
        <n v="15"/>
        <n v="14"/>
        <n v="12"/>
        <n v="16"/>
        <n v="20"/>
        <n v="9"/>
        <n v="5"/>
        <n v="19"/>
        <n v="8"/>
        <n v="36"/>
        <n v="21"/>
        <n v="29"/>
        <n v="48"/>
        <n v="30"/>
        <n v="27"/>
        <n v="24"/>
        <n v="25"/>
        <n v="58"/>
        <n v="61"/>
        <n v="33"/>
        <n v="31"/>
        <n v="35"/>
        <n v="22"/>
        <n v="53"/>
        <n v="37"/>
        <n v="26"/>
        <n v="50"/>
        <n v="62"/>
        <n v="39"/>
        <n v="41"/>
        <n v="65"/>
        <n v="69"/>
        <n v="51"/>
        <n v="45"/>
        <n v="42"/>
        <n v="46"/>
        <n v="40"/>
        <n v="74"/>
        <n v="43"/>
        <n v="83"/>
        <n v="98"/>
        <n v="87"/>
        <n v="52"/>
        <n v="54"/>
        <n v="85"/>
        <n v="64"/>
        <n v="146"/>
        <n v="122"/>
        <n v="90"/>
        <n v="106"/>
        <n v="57"/>
        <n v="67"/>
        <n v="34"/>
        <n v="195"/>
        <n v="79"/>
        <n v="49"/>
        <n v="80"/>
        <n v="71"/>
        <n v="56"/>
        <n v="47"/>
        <n v="63"/>
        <n v="112"/>
        <n v="32"/>
        <n v="162"/>
        <n v="133"/>
        <n v="95"/>
        <n v="55"/>
        <n v="72"/>
        <n v="101"/>
        <n v="68"/>
        <n v="44"/>
        <n v="129"/>
        <n v="66"/>
        <n v="91"/>
        <n v="78"/>
        <n v="70"/>
        <n v="81"/>
        <n v="221"/>
        <n v="88"/>
        <n v="77"/>
        <n v="38"/>
        <n v="121"/>
        <n v="117"/>
      </sharedItems>
    </cacheField>
    <cacheField name="Citations" numFmtId="0">
      <sharedItems containsSemiMixedTypes="0" containsString="0" containsNumber="1" containsInteger="1" minValue="1" maxValue="405" count="61">
        <n v="1"/>
        <n v="2"/>
        <n v="6"/>
        <n v="19"/>
        <n v="4"/>
        <n v="8"/>
        <n v="27"/>
        <n v="10"/>
        <n v="31"/>
        <n v="29"/>
        <n v="13"/>
        <n v="40"/>
        <n v="5"/>
        <n v="3"/>
        <n v="7"/>
        <n v="9"/>
        <n v="16"/>
        <n v="17"/>
        <n v="34"/>
        <n v="14"/>
        <n v="35"/>
        <n v="101"/>
        <n v="15"/>
        <n v="59"/>
        <n v="22"/>
        <n v="24"/>
        <n v="50"/>
        <n v="21"/>
        <n v="48"/>
        <n v="28"/>
        <n v="39"/>
        <n v="38"/>
        <n v="51"/>
        <n v="254"/>
        <n v="53"/>
        <n v="42"/>
        <n v="46"/>
        <n v="108"/>
        <n v="66"/>
        <n v="174"/>
        <n v="76"/>
        <n v="72"/>
        <n v="26"/>
        <n v="80"/>
        <n v="57"/>
        <n v="129"/>
        <n v="405"/>
        <n v="43"/>
        <n v="45"/>
        <n v="85"/>
        <n v="187"/>
        <n v="71"/>
        <n v="63"/>
        <n v="18"/>
        <n v="93"/>
        <n v="275"/>
        <n v="139"/>
        <n v="121"/>
        <n v="151"/>
        <n v="114"/>
        <n v="167"/>
      </sharedItems>
    </cacheField>
    <cacheField name="Score" numFmtId="0">
      <sharedItems containsSemiMixedTypes="0" containsString="0" containsNumber="1" minValue="81.7" maxValue="100" count="76">
        <n v="100"/>
        <n v="96.7"/>
        <n v="95.1"/>
        <n v="94"/>
        <n v="93.2"/>
        <n v="92.5"/>
        <n v="91.9"/>
        <n v="91.4"/>
        <n v="91"/>
        <n v="90.6"/>
        <n v="90.3"/>
        <n v="90"/>
        <n v="89.7"/>
        <n v="89.4"/>
        <n v="89.1"/>
        <n v="88.9"/>
        <n v="88.7"/>
        <n v="88.4"/>
        <n v="88.2"/>
        <n v="88"/>
        <n v="87.8"/>
        <n v="87.7"/>
        <n v="87.5"/>
        <n v="87.3"/>
        <n v="87.2"/>
        <n v="87"/>
        <n v="86.9"/>
        <n v="86.7"/>
        <n v="86.6"/>
        <n v="86.5"/>
        <n v="86.3"/>
        <n v="86.2"/>
        <n v="86.1"/>
        <n v="86"/>
        <n v="85.9"/>
        <n v="85.8"/>
        <n v="85.6"/>
        <n v="85.5"/>
        <n v="85.4"/>
        <n v="85.3"/>
        <n v="85.2"/>
        <n v="85.1"/>
        <n v="85"/>
        <n v="84.9"/>
        <n v="84.8"/>
        <n v="84.7"/>
        <n v="84.6"/>
        <n v="84.5"/>
        <n v="84.4"/>
        <n v="84.3"/>
        <n v="84.2"/>
        <n v="84.1"/>
        <n v="84"/>
        <n v="83.9"/>
        <n v="83.8"/>
        <n v="83.7"/>
        <n v="83.6"/>
        <n v="83.5"/>
        <n v="83.4"/>
        <n v="83.3"/>
        <n v="83.2"/>
        <n v="83.1"/>
        <n v="83"/>
        <n v="82.9"/>
        <n v="82.8"/>
        <n v="82.7"/>
        <n v="82.6"/>
        <n v="82.5"/>
        <n v="82.4"/>
        <n v="82.3"/>
        <n v="82.2"/>
        <n v="82.1"/>
        <n v="82"/>
        <n v="81.900000000000006"/>
        <n v="81.8"/>
        <n v="81.7"/>
      </sharedItems>
    </cacheField>
    <cacheField name="Latitude" numFmtId="0">
      <sharedItems containsSemiMixedTypes="0" containsString="0" containsNumber="1" minValue="-24.776108600000001" maxValue="64.573153700000006" count="19">
        <n v="39.783730400000003"/>
        <n v="54.702354499999998"/>
        <n v="36.5748441"/>
        <n v="61.066692199999999"/>
        <n v="46.798562400000002"/>
        <n v="46.603354000000003"/>
        <n v="55.670248999999998"/>
        <n v="39.3181528"/>
        <n v="40.420347900000003"/>
        <n v="44.133434999999999"/>
        <n v="-24.776108600000001"/>
        <n v="36.638392000000003"/>
        <n v="42.638426099999997"/>
        <n v="52.243497900000001"/>
        <n v="64.573153700000006"/>
        <n v="-10.3333333"/>
        <n v="39.326068499999998"/>
        <n v="30.047992000000001"/>
        <n v="63.246777700000003"/>
      </sharedItems>
    </cacheField>
    <cacheField name="Longitude" numFmtId="0">
      <sharedItems containsMixedTypes="1" containsNumber="1" minValue="-107.99170700000001" maxValue="139.23941790000001" count="19">
        <n v="-100.445882"/>
        <n v="-3.2765753000000002"/>
        <n v="139.23941790000001"/>
        <n v="-107.99170700000001"/>
        <n v="8.2319735999999999"/>
        <n v="1.8883335000000001"/>
        <n v="10.3333283"/>
        <n v="-79.810901400000006"/>
        <n v="-79.116698299999996"/>
        <n v="-70.822677999999996"/>
        <n v="134.755"/>
        <n v="127.69611879999999"/>
        <n v="12.674296999999999"/>
        <n v="5.6343227000000002"/>
        <s v="11.52803643954819"/>
        <n v="-53.2"/>
        <n v="-4.8379791000000001"/>
        <n v="-94.335743300000004"/>
        <n v="25.920916399999999"/>
      </sharedItems>
    </cacheField>
  </cacheFields>
  <extLst>
    <ext xmlns:x14="http://schemas.microsoft.com/office/spreadsheetml/2009/9/main" uri="{725AE2AE-9491-48be-B2B4-4EB974FC3084}">
      <x14:pivotCacheDefinition pivotCacheId="2015772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x v="0"/>
    <x v="0"/>
    <x v="0"/>
    <x v="0"/>
    <x v="0"/>
    <x v="0"/>
    <x v="0"/>
    <x v="0"/>
    <x v="0"/>
    <x v="0"/>
    <x v="0"/>
  </r>
  <r>
    <x v="1"/>
    <x v="1"/>
    <x v="0"/>
    <x v="1"/>
    <x v="1"/>
    <x v="1"/>
    <x v="1"/>
    <x v="1"/>
    <x v="1"/>
    <x v="1"/>
    <x v="1"/>
    <x v="1"/>
    <x v="0"/>
    <x v="0"/>
  </r>
  <r>
    <x v="2"/>
    <x v="2"/>
    <x v="0"/>
    <x v="2"/>
    <x v="2"/>
    <x v="2"/>
    <x v="2"/>
    <x v="2"/>
    <x v="2"/>
    <x v="2"/>
    <x v="2"/>
    <x v="2"/>
    <x v="0"/>
    <x v="0"/>
  </r>
  <r>
    <x v="3"/>
    <x v="3"/>
    <x v="1"/>
    <x v="0"/>
    <x v="3"/>
    <x v="3"/>
    <x v="3"/>
    <x v="3"/>
    <x v="3"/>
    <x v="3"/>
    <x v="3"/>
    <x v="3"/>
    <x v="1"/>
    <x v="1"/>
  </r>
  <r>
    <x v="4"/>
    <x v="4"/>
    <x v="1"/>
    <x v="1"/>
    <x v="4"/>
    <x v="4"/>
    <x v="4"/>
    <x v="4"/>
    <x v="4"/>
    <x v="4"/>
    <x v="4"/>
    <x v="4"/>
    <x v="1"/>
    <x v="1"/>
  </r>
  <r>
    <x v="5"/>
    <x v="5"/>
    <x v="0"/>
    <x v="3"/>
    <x v="5"/>
    <x v="5"/>
    <x v="5"/>
    <x v="5"/>
    <x v="5"/>
    <x v="5"/>
    <x v="5"/>
    <x v="5"/>
    <x v="0"/>
    <x v="0"/>
  </r>
  <r>
    <x v="6"/>
    <x v="6"/>
    <x v="0"/>
    <x v="4"/>
    <x v="6"/>
    <x v="6"/>
    <x v="6"/>
    <x v="6"/>
    <x v="6"/>
    <x v="6"/>
    <x v="6"/>
    <x v="6"/>
    <x v="0"/>
    <x v="0"/>
  </r>
  <r>
    <x v="7"/>
    <x v="7"/>
    <x v="0"/>
    <x v="5"/>
    <x v="7"/>
    <x v="7"/>
    <x v="7"/>
    <x v="7"/>
    <x v="7"/>
    <x v="7"/>
    <x v="7"/>
    <x v="7"/>
    <x v="0"/>
    <x v="0"/>
  </r>
  <r>
    <x v="8"/>
    <x v="8"/>
    <x v="0"/>
    <x v="6"/>
    <x v="8"/>
    <x v="8"/>
    <x v="8"/>
    <x v="8"/>
    <x v="8"/>
    <x v="8"/>
    <x v="8"/>
    <x v="8"/>
    <x v="0"/>
    <x v="0"/>
  </r>
  <r>
    <x v="9"/>
    <x v="9"/>
    <x v="0"/>
    <x v="7"/>
    <x v="9"/>
    <x v="9"/>
    <x v="9"/>
    <x v="9"/>
    <x v="9"/>
    <x v="9"/>
    <x v="7"/>
    <x v="9"/>
    <x v="0"/>
    <x v="0"/>
  </r>
  <r>
    <x v="10"/>
    <x v="10"/>
    <x v="0"/>
    <x v="8"/>
    <x v="10"/>
    <x v="10"/>
    <x v="10"/>
    <x v="10"/>
    <x v="10"/>
    <x v="10"/>
    <x v="8"/>
    <x v="10"/>
    <x v="0"/>
    <x v="0"/>
  </r>
  <r>
    <x v="11"/>
    <x v="11"/>
    <x v="2"/>
    <x v="0"/>
    <x v="11"/>
    <x v="11"/>
    <x v="11"/>
    <x v="11"/>
    <x v="11"/>
    <x v="11"/>
    <x v="9"/>
    <x v="11"/>
    <x v="2"/>
    <x v="2"/>
  </r>
  <r>
    <x v="12"/>
    <x v="12"/>
    <x v="0"/>
    <x v="9"/>
    <x v="12"/>
    <x v="12"/>
    <x v="12"/>
    <x v="12"/>
    <x v="12"/>
    <x v="12"/>
    <x v="10"/>
    <x v="12"/>
    <x v="0"/>
    <x v="0"/>
  </r>
  <r>
    <x v="13"/>
    <x v="13"/>
    <x v="0"/>
    <x v="10"/>
    <x v="13"/>
    <x v="13"/>
    <x v="13"/>
    <x v="13"/>
    <x v="13"/>
    <x v="13"/>
    <x v="11"/>
    <x v="13"/>
    <x v="0"/>
    <x v="0"/>
  </r>
  <r>
    <x v="14"/>
    <x v="14"/>
    <x v="0"/>
    <x v="11"/>
    <x v="14"/>
    <x v="14"/>
    <x v="14"/>
    <x v="14"/>
    <x v="14"/>
    <x v="14"/>
    <x v="12"/>
    <x v="14"/>
    <x v="0"/>
    <x v="0"/>
  </r>
  <r>
    <x v="15"/>
    <x v="15"/>
    <x v="0"/>
    <x v="12"/>
    <x v="15"/>
    <x v="15"/>
    <x v="15"/>
    <x v="15"/>
    <x v="15"/>
    <x v="15"/>
    <x v="13"/>
    <x v="15"/>
    <x v="0"/>
    <x v="0"/>
  </r>
  <r>
    <x v="16"/>
    <x v="16"/>
    <x v="3"/>
    <x v="0"/>
    <x v="16"/>
    <x v="16"/>
    <x v="16"/>
    <x v="16"/>
    <x v="16"/>
    <x v="16"/>
    <x v="14"/>
    <x v="16"/>
    <x v="3"/>
    <x v="3"/>
  </r>
  <r>
    <x v="17"/>
    <x v="17"/>
    <x v="0"/>
    <x v="13"/>
    <x v="17"/>
    <x v="17"/>
    <x v="17"/>
    <x v="17"/>
    <x v="17"/>
    <x v="17"/>
    <x v="7"/>
    <x v="17"/>
    <x v="0"/>
    <x v="0"/>
  </r>
  <r>
    <x v="18"/>
    <x v="18"/>
    <x v="0"/>
    <x v="14"/>
    <x v="18"/>
    <x v="18"/>
    <x v="18"/>
    <x v="18"/>
    <x v="18"/>
    <x v="18"/>
    <x v="15"/>
    <x v="18"/>
    <x v="0"/>
    <x v="0"/>
  </r>
  <r>
    <x v="19"/>
    <x v="19"/>
    <x v="0"/>
    <x v="15"/>
    <x v="19"/>
    <x v="19"/>
    <x v="19"/>
    <x v="19"/>
    <x v="19"/>
    <x v="19"/>
    <x v="16"/>
    <x v="19"/>
    <x v="0"/>
    <x v="0"/>
  </r>
  <r>
    <x v="20"/>
    <x v="20"/>
    <x v="1"/>
    <x v="2"/>
    <x v="20"/>
    <x v="20"/>
    <x v="20"/>
    <x v="20"/>
    <x v="20"/>
    <x v="20"/>
    <x v="3"/>
    <x v="20"/>
    <x v="1"/>
    <x v="1"/>
  </r>
  <r>
    <x v="21"/>
    <x v="21"/>
    <x v="0"/>
    <x v="16"/>
    <x v="21"/>
    <x v="19"/>
    <x v="21"/>
    <x v="21"/>
    <x v="21"/>
    <x v="21"/>
    <x v="17"/>
    <x v="21"/>
    <x v="0"/>
    <x v="0"/>
  </r>
  <r>
    <x v="22"/>
    <x v="22"/>
    <x v="0"/>
    <x v="17"/>
    <x v="22"/>
    <x v="21"/>
    <x v="22"/>
    <x v="22"/>
    <x v="22"/>
    <x v="22"/>
    <x v="18"/>
    <x v="22"/>
    <x v="0"/>
    <x v="0"/>
  </r>
  <r>
    <x v="23"/>
    <x v="23"/>
    <x v="0"/>
    <x v="18"/>
    <x v="23"/>
    <x v="22"/>
    <x v="23"/>
    <x v="23"/>
    <x v="23"/>
    <x v="23"/>
    <x v="19"/>
    <x v="23"/>
    <x v="0"/>
    <x v="0"/>
  </r>
  <r>
    <x v="24"/>
    <x v="24"/>
    <x v="0"/>
    <x v="19"/>
    <x v="24"/>
    <x v="23"/>
    <x v="24"/>
    <x v="24"/>
    <x v="24"/>
    <x v="24"/>
    <x v="20"/>
    <x v="24"/>
    <x v="0"/>
    <x v="0"/>
  </r>
  <r>
    <x v="25"/>
    <x v="25"/>
    <x v="2"/>
    <x v="1"/>
    <x v="25"/>
    <x v="24"/>
    <x v="25"/>
    <x v="25"/>
    <x v="25"/>
    <x v="25"/>
    <x v="21"/>
    <x v="25"/>
    <x v="2"/>
    <x v="2"/>
  </r>
  <r>
    <x v="26"/>
    <x v="26"/>
    <x v="0"/>
    <x v="20"/>
    <x v="26"/>
    <x v="25"/>
    <x v="26"/>
    <x v="26"/>
    <x v="26"/>
    <x v="26"/>
    <x v="22"/>
    <x v="26"/>
    <x v="0"/>
    <x v="0"/>
  </r>
  <r>
    <x v="27"/>
    <x v="27"/>
    <x v="4"/>
    <x v="0"/>
    <x v="27"/>
    <x v="26"/>
    <x v="27"/>
    <x v="27"/>
    <x v="27"/>
    <x v="27"/>
    <x v="23"/>
    <x v="27"/>
    <x v="4"/>
    <x v="4"/>
  </r>
  <r>
    <x v="28"/>
    <x v="28"/>
    <x v="5"/>
    <x v="0"/>
    <x v="28"/>
    <x v="27"/>
    <x v="28"/>
    <x v="28"/>
    <x v="28"/>
    <x v="28"/>
    <x v="24"/>
    <x v="28"/>
    <x v="5"/>
    <x v="5"/>
  </r>
  <r>
    <x v="29"/>
    <x v="29"/>
    <x v="1"/>
    <x v="3"/>
    <x v="29"/>
    <x v="28"/>
    <x v="29"/>
    <x v="29"/>
    <x v="29"/>
    <x v="29"/>
    <x v="9"/>
    <x v="29"/>
    <x v="1"/>
    <x v="1"/>
  </r>
  <r>
    <x v="30"/>
    <x v="30"/>
    <x v="0"/>
    <x v="21"/>
    <x v="30"/>
    <x v="29"/>
    <x v="30"/>
    <x v="30"/>
    <x v="30"/>
    <x v="30"/>
    <x v="25"/>
    <x v="30"/>
    <x v="0"/>
    <x v="0"/>
  </r>
  <r>
    <x v="31"/>
    <x v="31"/>
    <x v="0"/>
    <x v="22"/>
    <x v="31"/>
    <x v="30"/>
    <x v="31"/>
    <x v="31"/>
    <x v="31"/>
    <x v="31"/>
    <x v="26"/>
    <x v="31"/>
    <x v="0"/>
    <x v="0"/>
  </r>
  <r>
    <x v="32"/>
    <x v="32"/>
    <x v="0"/>
    <x v="23"/>
    <x v="32"/>
    <x v="31"/>
    <x v="32"/>
    <x v="32"/>
    <x v="32"/>
    <x v="32"/>
    <x v="27"/>
    <x v="32"/>
    <x v="0"/>
    <x v="0"/>
  </r>
  <r>
    <x v="33"/>
    <x v="33"/>
    <x v="1"/>
    <x v="4"/>
    <x v="33"/>
    <x v="32"/>
    <x v="33"/>
    <x v="33"/>
    <x v="33"/>
    <x v="33"/>
    <x v="28"/>
    <x v="33"/>
    <x v="1"/>
    <x v="1"/>
  </r>
  <r>
    <x v="34"/>
    <x v="34"/>
    <x v="0"/>
    <x v="24"/>
    <x v="34"/>
    <x v="33"/>
    <x v="34"/>
    <x v="34"/>
    <x v="34"/>
    <x v="34"/>
    <x v="29"/>
    <x v="34"/>
    <x v="0"/>
    <x v="0"/>
  </r>
  <r>
    <x v="35"/>
    <x v="35"/>
    <x v="0"/>
    <x v="25"/>
    <x v="35"/>
    <x v="34"/>
    <x v="35"/>
    <x v="35"/>
    <x v="35"/>
    <x v="35"/>
    <x v="24"/>
    <x v="35"/>
    <x v="0"/>
    <x v="0"/>
  </r>
  <r>
    <x v="36"/>
    <x v="36"/>
    <x v="3"/>
    <x v="1"/>
    <x v="36"/>
    <x v="35"/>
    <x v="36"/>
    <x v="36"/>
    <x v="36"/>
    <x v="36"/>
    <x v="30"/>
    <x v="36"/>
    <x v="3"/>
    <x v="3"/>
  </r>
  <r>
    <x v="37"/>
    <x v="37"/>
    <x v="3"/>
    <x v="2"/>
    <x v="37"/>
    <x v="36"/>
    <x v="37"/>
    <x v="37"/>
    <x v="37"/>
    <x v="37"/>
    <x v="25"/>
    <x v="37"/>
    <x v="3"/>
    <x v="3"/>
  </r>
  <r>
    <x v="38"/>
    <x v="38"/>
    <x v="6"/>
    <x v="0"/>
    <x v="38"/>
    <x v="37"/>
    <x v="38"/>
    <x v="38"/>
    <x v="38"/>
    <x v="38"/>
    <x v="31"/>
    <x v="38"/>
    <x v="6"/>
    <x v="6"/>
  </r>
  <r>
    <x v="39"/>
    <x v="39"/>
    <x v="0"/>
    <x v="26"/>
    <x v="39"/>
    <x v="38"/>
    <x v="39"/>
    <x v="39"/>
    <x v="39"/>
    <x v="39"/>
    <x v="20"/>
    <x v="39"/>
    <x v="0"/>
    <x v="0"/>
  </r>
  <r>
    <x v="40"/>
    <x v="40"/>
    <x v="0"/>
    <x v="27"/>
    <x v="40"/>
    <x v="39"/>
    <x v="40"/>
    <x v="40"/>
    <x v="40"/>
    <x v="40"/>
    <x v="23"/>
    <x v="40"/>
    <x v="0"/>
    <x v="0"/>
  </r>
  <r>
    <x v="41"/>
    <x v="41"/>
    <x v="0"/>
    <x v="28"/>
    <x v="41"/>
    <x v="40"/>
    <x v="41"/>
    <x v="41"/>
    <x v="41"/>
    <x v="41"/>
    <x v="8"/>
    <x v="41"/>
    <x v="0"/>
    <x v="0"/>
  </r>
  <r>
    <x v="42"/>
    <x v="42"/>
    <x v="0"/>
    <x v="29"/>
    <x v="42"/>
    <x v="41"/>
    <x v="42"/>
    <x v="42"/>
    <x v="42"/>
    <x v="42"/>
    <x v="32"/>
    <x v="42"/>
    <x v="0"/>
    <x v="0"/>
  </r>
  <r>
    <x v="43"/>
    <x v="43"/>
    <x v="1"/>
    <x v="5"/>
    <x v="43"/>
    <x v="42"/>
    <x v="43"/>
    <x v="43"/>
    <x v="43"/>
    <x v="43"/>
    <x v="20"/>
    <x v="42"/>
    <x v="1"/>
    <x v="1"/>
  </r>
  <r>
    <x v="44"/>
    <x v="44"/>
    <x v="7"/>
    <x v="0"/>
    <x v="44"/>
    <x v="19"/>
    <x v="44"/>
    <x v="44"/>
    <x v="44"/>
    <x v="44"/>
    <x v="33"/>
    <x v="43"/>
    <x v="7"/>
    <x v="7"/>
  </r>
  <r>
    <x v="45"/>
    <x v="45"/>
    <x v="8"/>
    <x v="0"/>
    <x v="45"/>
    <x v="43"/>
    <x v="45"/>
    <x v="45"/>
    <x v="45"/>
    <x v="45"/>
    <x v="34"/>
    <x v="44"/>
    <x v="8"/>
    <x v="8"/>
  </r>
  <r>
    <x v="46"/>
    <x v="46"/>
    <x v="0"/>
    <x v="30"/>
    <x v="46"/>
    <x v="44"/>
    <x v="46"/>
    <x v="46"/>
    <x v="46"/>
    <x v="46"/>
    <x v="35"/>
    <x v="45"/>
    <x v="0"/>
    <x v="0"/>
  </r>
  <r>
    <x v="47"/>
    <x v="47"/>
    <x v="8"/>
    <x v="1"/>
    <x v="47"/>
    <x v="45"/>
    <x v="47"/>
    <x v="47"/>
    <x v="47"/>
    <x v="47"/>
    <x v="36"/>
    <x v="46"/>
    <x v="8"/>
    <x v="8"/>
  </r>
  <r>
    <x v="48"/>
    <x v="48"/>
    <x v="9"/>
    <x v="0"/>
    <x v="48"/>
    <x v="19"/>
    <x v="48"/>
    <x v="48"/>
    <x v="48"/>
    <x v="48"/>
    <x v="37"/>
    <x v="47"/>
    <x v="9"/>
    <x v="9"/>
  </r>
  <r>
    <x v="49"/>
    <x v="49"/>
    <x v="0"/>
    <x v="31"/>
    <x v="49"/>
    <x v="46"/>
    <x v="49"/>
    <x v="49"/>
    <x v="49"/>
    <x v="49"/>
    <x v="23"/>
    <x v="48"/>
    <x v="0"/>
    <x v="0"/>
  </r>
  <r>
    <x v="50"/>
    <x v="50"/>
    <x v="0"/>
    <x v="32"/>
    <x v="50"/>
    <x v="47"/>
    <x v="50"/>
    <x v="50"/>
    <x v="50"/>
    <x v="50"/>
    <x v="38"/>
    <x v="48"/>
    <x v="0"/>
    <x v="0"/>
  </r>
  <r>
    <x v="51"/>
    <x v="51"/>
    <x v="0"/>
    <x v="33"/>
    <x v="51"/>
    <x v="48"/>
    <x v="51"/>
    <x v="51"/>
    <x v="51"/>
    <x v="51"/>
    <x v="28"/>
    <x v="49"/>
    <x v="0"/>
    <x v="0"/>
  </r>
  <r>
    <x v="52"/>
    <x v="52"/>
    <x v="2"/>
    <x v="2"/>
    <x v="52"/>
    <x v="49"/>
    <x v="52"/>
    <x v="52"/>
    <x v="52"/>
    <x v="52"/>
    <x v="39"/>
    <x v="50"/>
    <x v="2"/>
    <x v="2"/>
  </r>
  <r>
    <x v="53"/>
    <x v="53"/>
    <x v="5"/>
    <x v="1"/>
    <x v="53"/>
    <x v="50"/>
    <x v="53"/>
    <x v="53"/>
    <x v="53"/>
    <x v="53"/>
    <x v="40"/>
    <x v="51"/>
    <x v="5"/>
    <x v="5"/>
  </r>
  <r>
    <x v="54"/>
    <x v="54"/>
    <x v="4"/>
    <x v="1"/>
    <x v="54"/>
    <x v="51"/>
    <x v="54"/>
    <x v="54"/>
    <x v="54"/>
    <x v="54"/>
    <x v="41"/>
    <x v="52"/>
    <x v="4"/>
    <x v="4"/>
  </r>
  <r>
    <x v="55"/>
    <x v="55"/>
    <x v="0"/>
    <x v="34"/>
    <x v="55"/>
    <x v="52"/>
    <x v="55"/>
    <x v="55"/>
    <x v="55"/>
    <x v="55"/>
    <x v="42"/>
    <x v="52"/>
    <x v="0"/>
    <x v="0"/>
  </r>
  <r>
    <x v="56"/>
    <x v="56"/>
    <x v="10"/>
    <x v="0"/>
    <x v="56"/>
    <x v="53"/>
    <x v="56"/>
    <x v="56"/>
    <x v="56"/>
    <x v="56"/>
    <x v="11"/>
    <x v="53"/>
    <x v="10"/>
    <x v="10"/>
  </r>
  <r>
    <x v="57"/>
    <x v="57"/>
    <x v="0"/>
    <x v="35"/>
    <x v="57"/>
    <x v="54"/>
    <x v="57"/>
    <x v="57"/>
    <x v="57"/>
    <x v="57"/>
    <x v="43"/>
    <x v="54"/>
    <x v="0"/>
    <x v="0"/>
  </r>
  <r>
    <x v="58"/>
    <x v="58"/>
    <x v="0"/>
    <x v="36"/>
    <x v="58"/>
    <x v="19"/>
    <x v="58"/>
    <x v="58"/>
    <x v="58"/>
    <x v="58"/>
    <x v="44"/>
    <x v="54"/>
    <x v="0"/>
    <x v="0"/>
  </r>
  <r>
    <x v="59"/>
    <x v="59"/>
    <x v="11"/>
    <x v="0"/>
    <x v="21"/>
    <x v="55"/>
    <x v="59"/>
    <x v="59"/>
    <x v="59"/>
    <x v="59"/>
    <x v="45"/>
    <x v="55"/>
    <x v="11"/>
    <x v="11"/>
  </r>
  <r>
    <x v="60"/>
    <x v="60"/>
    <x v="7"/>
    <x v="1"/>
    <x v="59"/>
    <x v="56"/>
    <x v="60"/>
    <x v="60"/>
    <x v="60"/>
    <x v="60"/>
    <x v="46"/>
    <x v="56"/>
    <x v="7"/>
    <x v="7"/>
  </r>
  <r>
    <x v="61"/>
    <x v="61"/>
    <x v="0"/>
    <x v="37"/>
    <x v="60"/>
    <x v="57"/>
    <x v="61"/>
    <x v="61"/>
    <x v="61"/>
    <x v="61"/>
    <x v="47"/>
    <x v="56"/>
    <x v="0"/>
    <x v="0"/>
  </r>
  <r>
    <x v="62"/>
    <x v="62"/>
    <x v="0"/>
    <x v="38"/>
    <x v="61"/>
    <x v="58"/>
    <x v="62"/>
    <x v="62"/>
    <x v="62"/>
    <x v="62"/>
    <x v="45"/>
    <x v="57"/>
    <x v="0"/>
    <x v="0"/>
  </r>
  <r>
    <x v="63"/>
    <x v="63"/>
    <x v="0"/>
    <x v="39"/>
    <x v="62"/>
    <x v="59"/>
    <x v="63"/>
    <x v="63"/>
    <x v="63"/>
    <x v="63"/>
    <x v="48"/>
    <x v="58"/>
    <x v="0"/>
    <x v="0"/>
  </r>
  <r>
    <x v="64"/>
    <x v="64"/>
    <x v="1"/>
    <x v="6"/>
    <x v="63"/>
    <x v="60"/>
    <x v="64"/>
    <x v="64"/>
    <x v="64"/>
    <x v="64"/>
    <x v="49"/>
    <x v="58"/>
    <x v="1"/>
    <x v="1"/>
  </r>
  <r>
    <x v="65"/>
    <x v="65"/>
    <x v="0"/>
    <x v="40"/>
    <x v="64"/>
    <x v="19"/>
    <x v="65"/>
    <x v="65"/>
    <x v="65"/>
    <x v="65"/>
    <x v="50"/>
    <x v="59"/>
    <x v="0"/>
    <x v="0"/>
  </r>
  <r>
    <x v="66"/>
    <x v="66"/>
    <x v="12"/>
    <x v="0"/>
    <x v="65"/>
    <x v="61"/>
    <x v="66"/>
    <x v="66"/>
    <x v="66"/>
    <x v="66"/>
    <x v="51"/>
    <x v="60"/>
    <x v="12"/>
    <x v="12"/>
  </r>
  <r>
    <x v="67"/>
    <x v="67"/>
    <x v="1"/>
    <x v="7"/>
    <x v="66"/>
    <x v="62"/>
    <x v="67"/>
    <x v="67"/>
    <x v="67"/>
    <x v="67"/>
    <x v="41"/>
    <x v="60"/>
    <x v="1"/>
    <x v="1"/>
  </r>
  <r>
    <x v="68"/>
    <x v="68"/>
    <x v="4"/>
    <x v="2"/>
    <x v="67"/>
    <x v="63"/>
    <x v="68"/>
    <x v="68"/>
    <x v="68"/>
    <x v="68"/>
    <x v="32"/>
    <x v="61"/>
    <x v="4"/>
    <x v="4"/>
  </r>
  <r>
    <x v="69"/>
    <x v="69"/>
    <x v="0"/>
    <x v="41"/>
    <x v="68"/>
    <x v="64"/>
    <x v="69"/>
    <x v="69"/>
    <x v="69"/>
    <x v="69"/>
    <x v="52"/>
    <x v="62"/>
    <x v="0"/>
    <x v="0"/>
  </r>
  <r>
    <x v="70"/>
    <x v="70"/>
    <x v="10"/>
    <x v="1"/>
    <x v="69"/>
    <x v="65"/>
    <x v="70"/>
    <x v="70"/>
    <x v="70"/>
    <x v="70"/>
    <x v="36"/>
    <x v="62"/>
    <x v="10"/>
    <x v="10"/>
  </r>
  <r>
    <x v="71"/>
    <x v="71"/>
    <x v="13"/>
    <x v="0"/>
    <x v="70"/>
    <x v="66"/>
    <x v="71"/>
    <x v="71"/>
    <x v="71"/>
    <x v="71"/>
    <x v="38"/>
    <x v="63"/>
    <x v="13"/>
    <x v="13"/>
  </r>
  <r>
    <x v="72"/>
    <x v="72"/>
    <x v="0"/>
    <x v="42"/>
    <x v="71"/>
    <x v="67"/>
    <x v="59"/>
    <x v="72"/>
    <x v="72"/>
    <x v="72"/>
    <x v="53"/>
    <x v="63"/>
    <x v="0"/>
    <x v="0"/>
  </r>
  <r>
    <x v="73"/>
    <x v="73"/>
    <x v="10"/>
    <x v="2"/>
    <x v="72"/>
    <x v="68"/>
    <x v="72"/>
    <x v="73"/>
    <x v="73"/>
    <x v="73"/>
    <x v="34"/>
    <x v="64"/>
    <x v="10"/>
    <x v="10"/>
  </r>
  <r>
    <x v="74"/>
    <x v="74"/>
    <x v="14"/>
    <x v="0"/>
    <x v="73"/>
    <x v="69"/>
    <x v="73"/>
    <x v="74"/>
    <x v="74"/>
    <x v="74"/>
    <x v="54"/>
    <x v="64"/>
    <x v="14"/>
    <x v="14"/>
  </r>
  <r>
    <x v="75"/>
    <x v="75"/>
    <x v="0"/>
    <x v="43"/>
    <x v="74"/>
    <x v="19"/>
    <x v="74"/>
    <x v="75"/>
    <x v="75"/>
    <x v="75"/>
    <x v="55"/>
    <x v="65"/>
    <x v="0"/>
    <x v="0"/>
  </r>
  <r>
    <x v="76"/>
    <x v="76"/>
    <x v="15"/>
    <x v="0"/>
    <x v="75"/>
    <x v="70"/>
    <x v="75"/>
    <x v="76"/>
    <x v="76"/>
    <x v="76"/>
    <x v="56"/>
    <x v="66"/>
    <x v="15"/>
    <x v="15"/>
  </r>
  <r>
    <x v="77"/>
    <x v="77"/>
    <x v="0"/>
    <x v="44"/>
    <x v="76"/>
    <x v="71"/>
    <x v="76"/>
    <x v="77"/>
    <x v="77"/>
    <x v="77"/>
    <x v="21"/>
    <x v="66"/>
    <x v="0"/>
    <x v="0"/>
  </r>
  <r>
    <x v="78"/>
    <x v="78"/>
    <x v="0"/>
    <x v="45"/>
    <x v="77"/>
    <x v="72"/>
    <x v="77"/>
    <x v="78"/>
    <x v="78"/>
    <x v="78"/>
    <x v="49"/>
    <x v="67"/>
    <x v="0"/>
    <x v="0"/>
  </r>
  <r>
    <x v="79"/>
    <x v="79"/>
    <x v="0"/>
    <x v="46"/>
    <x v="21"/>
    <x v="73"/>
    <x v="78"/>
    <x v="79"/>
    <x v="79"/>
    <x v="79"/>
    <x v="52"/>
    <x v="67"/>
    <x v="0"/>
    <x v="0"/>
  </r>
  <r>
    <x v="80"/>
    <x v="80"/>
    <x v="8"/>
    <x v="2"/>
    <x v="78"/>
    <x v="19"/>
    <x v="79"/>
    <x v="80"/>
    <x v="80"/>
    <x v="80"/>
    <x v="49"/>
    <x v="68"/>
    <x v="8"/>
    <x v="8"/>
  </r>
  <r>
    <x v="81"/>
    <x v="81"/>
    <x v="10"/>
    <x v="3"/>
    <x v="79"/>
    <x v="74"/>
    <x v="80"/>
    <x v="81"/>
    <x v="81"/>
    <x v="81"/>
    <x v="57"/>
    <x v="68"/>
    <x v="10"/>
    <x v="10"/>
  </r>
  <r>
    <x v="82"/>
    <x v="82"/>
    <x v="0"/>
    <x v="47"/>
    <x v="80"/>
    <x v="75"/>
    <x v="81"/>
    <x v="82"/>
    <x v="82"/>
    <x v="82"/>
    <x v="54"/>
    <x v="69"/>
    <x v="0"/>
    <x v="0"/>
  </r>
  <r>
    <x v="83"/>
    <x v="83"/>
    <x v="5"/>
    <x v="2"/>
    <x v="81"/>
    <x v="19"/>
    <x v="82"/>
    <x v="83"/>
    <x v="83"/>
    <x v="83"/>
    <x v="40"/>
    <x v="69"/>
    <x v="5"/>
    <x v="5"/>
  </r>
  <r>
    <x v="84"/>
    <x v="84"/>
    <x v="7"/>
    <x v="2"/>
    <x v="82"/>
    <x v="76"/>
    <x v="83"/>
    <x v="84"/>
    <x v="84"/>
    <x v="84"/>
    <x v="58"/>
    <x v="70"/>
    <x v="7"/>
    <x v="7"/>
  </r>
  <r>
    <x v="85"/>
    <x v="85"/>
    <x v="9"/>
    <x v="1"/>
    <x v="83"/>
    <x v="77"/>
    <x v="84"/>
    <x v="85"/>
    <x v="85"/>
    <x v="85"/>
    <x v="59"/>
    <x v="70"/>
    <x v="9"/>
    <x v="9"/>
  </r>
  <r>
    <x v="86"/>
    <x v="86"/>
    <x v="16"/>
    <x v="0"/>
    <x v="84"/>
    <x v="78"/>
    <x v="72"/>
    <x v="86"/>
    <x v="86"/>
    <x v="86"/>
    <x v="41"/>
    <x v="71"/>
    <x v="16"/>
    <x v="16"/>
  </r>
  <r>
    <x v="87"/>
    <x v="87"/>
    <x v="6"/>
    <x v="1"/>
    <x v="85"/>
    <x v="79"/>
    <x v="85"/>
    <x v="87"/>
    <x v="87"/>
    <x v="87"/>
    <x v="57"/>
    <x v="71"/>
    <x v="6"/>
    <x v="6"/>
  </r>
  <r>
    <x v="88"/>
    <x v="88"/>
    <x v="0"/>
    <x v="48"/>
    <x v="21"/>
    <x v="19"/>
    <x v="86"/>
    <x v="88"/>
    <x v="88"/>
    <x v="88"/>
    <x v="38"/>
    <x v="72"/>
    <x v="0"/>
    <x v="0"/>
  </r>
  <r>
    <x v="89"/>
    <x v="89"/>
    <x v="13"/>
    <x v="1"/>
    <x v="86"/>
    <x v="19"/>
    <x v="87"/>
    <x v="89"/>
    <x v="89"/>
    <x v="89"/>
    <x v="43"/>
    <x v="72"/>
    <x v="13"/>
    <x v="13"/>
  </r>
  <r>
    <x v="90"/>
    <x v="90"/>
    <x v="0"/>
    <x v="49"/>
    <x v="87"/>
    <x v="80"/>
    <x v="88"/>
    <x v="90"/>
    <x v="90"/>
    <x v="90"/>
    <x v="45"/>
    <x v="73"/>
    <x v="0"/>
    <x v="0"/>
  </r>
  <r>
    <x v="91"/>
    <x v="91"/>
    <x v="17"/>
    <x v="0"/>
    <x v="88"/>
    <x v="81"/>
    <x v="59"/>
    <x v="91"/>
    <x v="91"/>
    <x v="91"/>
    <x v="60"/>
    <x v="73"/>
    <x v="17"/>
    <x v="17"/>
  </r>
  <r>
    <x v="92"/>
    <x v="92"/>
    <x v="18"/>
    <x v="0"/>
    <x v="89"/>
    <x v="19"/>
    <x v="89"/>
    <x v="92"/>
    <x v="92"/>
    <x v="92"/>
    <x v="37"/>
    <x v="74"/>
    <x v="18"/>
    <x v="18"/>
  </r>
  <r>
    <x v="93"/>
    <x v="93"/>
    <x v="0"/>
    <x v="50"/>
    <x v="21"/>
    <x v="19"/>
    <x v="90"/>
    <x v="93"/>
    <x v="93"/>
    <x v="93"/>
    <x v="34"/>
    <x v="74"/>
    <x v="0"/>
    <x v="0"/>
  </r>
  <r>
    <x v="94"/>
    <x v="94"/>
    <x v="9"/>
    <x v="2"/>
    <x v="90"/>
    <x v="82"/>
    <x v="91"/>
    <x v="94"/>
    <x v="94"/>
    <x v="94"/>
    <x v="40"/>
    <x v="75"/>
    <x v="9"/>
    <x v="9"/>
  </r>
  <r>
    <x v="95"/>
    <x v="95"/>
    <x v="3"/>
    <x v="3"/>
    <x v="91"/>
    <x v="83"/>
    <x v="92"/>
    <x v="95"/>
    <x v="95"/>
    <x v="95"/>
    <x v="43"/>
    <x v="75"/>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7CA6F6-4C55-4594-9BD4-8CC713330160}"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0:G112" firstHeaderRow="1" firstDataRow="2" firstDataCol="1" rowPageCount="1" colPageCount="1"/>
  <pivotFields count="14">
    <pivotField dataField="1" multipleItemSelectionAllowed="1"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axis="axisRow" showAll="0">
      <items count="97">
        <item x="87"/>
        <item x="81"/>
        <item x="93"/>
        <item x="55"/>
        <item x="57"/>
        <item x="8"/>
        <item x="90"/>
        <item x="7"/>
        <item x="13"/>
        <item x="23"/>
        <item x="79"/>
        <item x="27"/>
        <item x="80"/>
        <item x="0"/>
        <item x="60"/>
        <item x="45"/>
        <item x="29"/>
        <item x="15"/>
        <item x="48"/>
        <item x="67"/>
        <item x="25"/>
        <item x="89"/>
        <item x="47"/>
        <item x="94"/>
        <item x="2"/>
        <item x="36"/>
        <item x="24"/>
        <item x="22"/>
        <item x="39"/>
        <item x="52"/>
        <item x="83"/>
        <item x="91"/>
        <item x="42"/>
        <item x="6"/>
        <item x="62"/>
        <item x="75"/>
        <item x="40"/>
        <item x="66"/>
        <item x="59"/>
        <item x="28"/>
        <item x="1"/>
        <item x="84"/>
        <item x="77"/>
        <item x="20"/>
        <item x="95"/>
        <item x="51"/>
        <item x="86"/>
        <item x="64"/>
        <item x="37"/>
        <item x="5"/>
        <item x="41"/>
        <item x="58"/>
        <item x="14"/>
        <item x="19"/>
        <item x="21"/>
        <item x="69"/>
        <item x="3"/>
        <item x="9"/>
        <item x="49"/>
        <item x="38"/>
        <item x="33"/>
        <item x="61"/>
        <item x="54"/>
        <item x="92"/>
        <item x="31"/>
        <item x="43"/>
        <item x="46"/>
        <item x="56"/>
        <item x="17"/>
        <item x="34"/>
        <item x="32"/>
        <item x="74"/>
        <item x="4"/>
        <item x="53"/>
        <item x="12"/>
        <item x="72"/>
        <item x="73"/>
        <item x="76"/>
        <item x="50"/>
        <item x="70"/>
        <item x="30"/>
        <item x="88"/>
        <item x="65"/>
        <item x="11"/>
        <item x="16"/>
        <item x="82"/>
        <item x="78"/>
        <item x="18"/>
        <item x="26"/>
        <item x="68"/>
        <item x="85"/>
        <item x="71"/>
        <item x="63"/>
        <item x="35"/>
        <item x="44"/>
        <item x="10"/>
        <item t="default"/>
      </items>
    </pivotField>
    <pivotField showAll="0">
      <items count="20">
        <item x="10"/>
        <item x="15"/>
        <item x="3"/>
        <item x="17"/>
        <item x="6"/>
        <item x="18"/>
        <item x="5"/>
        <item x="8"/>
        <item x="7"/>
        <item x="12"/>
        <item x="2"/>
        <item x="13"/>
        <item x="14"/>
        <item x="11"/>
        <item x="16"/>
        <item x="9"/>
        <item x="4"/>
        <item x="1"/>
        <item x="0"/>
        <item t="default"/>
      </items>
    </pivotField>
    <pivotField axis="axisPage" multipleItemSelectionAllowed="1"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items count="85">
        <item x="0"/>
        <item x="1"/>
        <item x="11"/>
        <item x="12"/>
        <item x="2"/>
        <item x="7"/>
        <item x="6"/>
        <item x="21"/>
        <item x="3"/>
        <item x="55"/>
        <item x="9"/>
        <item x="4"/>
        <item x="13"/>
        <item x="24"/>
        <item x="72"/>
        <item x="10"/>
        <item x="17"/>
        <item x="23"/>
        <item x="22"/>
        <item x="54"/>
        <item x="5"/>
        <item x="29"/>
        <item x="14"/>
        <item x="49"/>
        <item x="81"/>
        <item x="25"/>
        <item x="58"/>
        <item x="35"/>
        <item x="59"/>
        <item x="26"/>
        <item x="39"/>
        <item x="28"/>
        <item x="47"/>
        <item x="52"/>
        <item x="31"/>
        <item x="76"/>
        <item x="80"/>
        <item x="30"/>
        <item x="16"/>
        <item x="15"/>
        <item x="34"/>
        <item x="48"/>
        <item x="41"/>
        <item x="46"/>
        <item x="71"/>
        <item x="75"/>
        <item x="73"/>
        <item x="8"/>
        <item x="18"/>
        <item x="42"/>
        <item x="67"/>
        <item x="38"/>
        <item x="70"/>
        <item x="45"/>
        <item x="60"/>
        <item x="33"/>
        <item x="32"/>
        <item x="62"/>
        <item x="27"/>
        <item x="66"/>
        <item x="37"/>
        <item x="83"/>
        <item x="79"/>
        <item x="51"/>
        <item x="56"/>
        <item x="53"/>
        <item x="78"/>
        <item x="44"/>
        <item x="57"/>
        <item x="61"/>
        <item x="68"/>
        <item x="77"/>
        <item x="40"/>
        <item x="65"/>
        <item x="64"/>
        <item x="69"/>
        <item x="74"/>
        <item x="36"/>
        <item x="20"/>
        <item x="82"/>
        <item x="63"/>
        <item x="43"/>
        <item x="50"/>
        <item x="19"/>
        <item t="default"/>
      </items>
    </pivotField>
    <pivotField axis="axisRow" multipleItemSelectionAllowed="1" showAll="0">
      <items count="94">
        <item x="0"/>
        <item x="1"/>
        <item x="2"/>
        <item x="6"/>
        <item x="5"/>
        <item h="1" x="3"/>
        <item h="1" x="8"/>
        <item h="1" x="7"/>
        <item h="1" x="9"/>
        <item h="1" x="4"/>
        <item h="1" x="14"/>
        <item h="1" x="10"/>
        <item h="1" x="21"/>
        <item h="1" x="74"/>
        <item h="1" x="60"/>
        <item h="1" x="19"/>
        <item h="1" x="15"/>
        <item h="1" x="24"/>
        <item h="1" x="13"/>
        <item h="1" x="27"/>
        <item h="1" x="88"/>
        <item h="1" x="44"/>
        <item h="1" x="16"/>
        <item h="1" x="25"/>
        <item h="1" x="69"/>
        <item h="1" x="18"/>
        <item h="1" x="31"/>
        <item h="1" x="20"/>
        <item h="1" x="30"/>
        <item h="1" x="12"/>
        <item h="1" x="54"/>
        <item h="1" x="26"/>
        <item h="1" x="11"/>
        <item h="1" x="66"/>
        <item h="1" x="40"/>
        <item h="1" x="33"/>
        <item h="1" x="80"/>
        <item h="1" x="53"/>
        <item h="1" x="65"/>
        <item h="1" x="50"/>
        <item h="1" x="49"/>
        <item h="1" x="58"/>
        <item h="1" x="29"/>
        <item h="1" x="22"/>
        <item h="1" x="48"/>
        <item h="1" x="23"/>
        <item h="1" x="64"/>
        <item h="1" x="57"/>
        <item h="1" x="45"/>
        <item h="1" x="73"/>
        <item h="1" x="51"/>
        <item h="1" x="46"/>
        <item h="1" x="28"/>
        <item h="1" x="76"/>
        <item h="1" x="62"/>
        <item h="1" x="83"/>
        <item h="1" x="42"/>
        <item h="1" x="52"/>
        <item h="1" x="43"/>
        <item h="1" x="35"/>
        <item h="1" x="36"/>
        <item h="1" x="17"/>
        <item h="1" x="39"/>
        <item h="1" x="32"/>
        <item h="1" x="41"/>
        <item h="1" x="34"/>
        <item h="1" x="37"/>
        <item h="1" x="38"/>
        <item h="1" x="81"/>
        <item h="1" x="47"/>
        <item h="1" x="84"/>
        <item h="1" x="86"/>
        <item h="1" x="82"/>
        <item h="1" x="55"/>
        <item h="1" x="68"/>
        <item h="1" x="75"/>
        <item h="1" x="67"/>
        <item h="1" x="61"/>
        <item h="1" x="85"/>
        <item h="1" x="87"/>
        <item h="1" x="91"/>
        <item h="1" x="79"/>
        <item h="1" x="89"/>
        <item h="1" x="71"/>
        <item h="1" x="63"/>
        <item h="1" x="90"/>
        <item h="1" x="78"/>
        <item h="1" x="77"/>
        <item h="1" x="56"/>
        <item h="1" x="72"/>
        <item h="1" x="92"/>
        <item h="1" x="70"/>
        <item h="1" x="59"/>
        <item t="default"/>
      </items>
    </pivotField>
    <pivotField showAll="0"/>
    <pivotField showAll="0">
      <items count="97">
        <item x="0"/>
        <item x="16"/>
        <item x="17"/>
        <item x="1"/>
        <item x="4"/>
        <item x="15"/>
        <item x="20"/>
        <item x="3"/>
        <item x="18"/>
        <item x="14"/>
        <item x="12"/>
        <item x="5"/>
        <item x="28"/>
        <item x="7"/>
        <item x="2"/>
        <item x="19"/>
        <item x="11"/>
        <item x="29"/>
        <item x="10"/>
        <item x="23"/>
        <item x="34"/>
        <item x="9"/>
        <item x="21"/>
        <item x="13"/>
        <item x="72"/>
        <item x="26"/>
        <item x="37"/>
        <item x="22"/>
        <item x="38"/>
        <item x="32"/>
        <item x="39"/>
        <item x="70"/>
        <item x="56"/>
        <item x="41"/>
        <item x="36"/>
        <item x="91"/>
        <item x="59"/>
        <item x="42"/>
        <item x="27"/>
        <item x="71"/>
        <item x="61"/>
        <item x="25"/>
        <item x="35"/>
        <item x="43"/>
        <item x="24"/>
        <item x="73"/>
        <item x="48"/>
        <item x="86"/>
        <item x="31"/>
        <item x="33"/>
        <item x="47"/>
        <item x="30"/>
        <item x="76"/>
        <item x="63"/>
        <item x="45"/>
        <item x="67"/>
        <item x="79"/>
        <item x="40"/>
        <item x="95"/>
        <item x="68"/>
        <item x="46"/>
        <item x="55"/>
        <item x="80"/>
        <item x="89"/>
        <item x="87"/>
        <item x="8"/>
        <item x="52"/>
        <item x="92"/>
        <item x="53"/>
        <item x="50"/>
        <item x="94"/>
        <item x="62"/>
        <item x="77"/>
        <item x="51"/>
        <item x="58"/>
        <item x="6"/>
        <item x="64"/>
        <item x="74"/>
        <item x="66"/>
        <item x="88"/>
        <item x="82"/>
        <item x="85"/>
        <item x="83"/>
        <item x="49"/>
        <item x="84"/>
        <item x="78"/>
        <item x="93"/>
        <item x="57"/>
        <item x="54"/>
        <item x="81"/>
        <item x="60"/>
        <item x="69"/>
        <item x="65"/>
        <item x="90"/>
        <item x="44"/>
        <item x="75"/>
        <item t="default"/>
      </items>
    </pivotField>
    <pivotField showAll="0"/>
    <pivotField showAll="0"/>
    <pivotField axis="axisCol" multipleItemSelectionAllowed="1" showAll="0">
      <items count="77">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s>
  <rowFields count="2">
    <field x="6"/>
    <field x="1"/>
  </rowFields>
  <rowItems count="11">
    <i>
      <x/>
    </i>
    <i r="1">
      <x v="13"/>
    </i>
    <i>
      <x v="1"/>
    </i>
    <i r="1">
      <x v="40"/>
    </i>
    <i>
      <x v="2"/>
    </i>
    <i r="1">
      <x v="24"/>
    </i>
    <i>
      <x v="3"/>
    </i>
    <i r="1">
      <x v="33"/>
    </i>
    <i>
      <x v="4"/>
    </i>
    <i r="1">
      <x v="49"/>
    </i>
    <i t="grand">
      <x/>
    </i>
  </rowItems>
  <colFields count="1">
    <field x="11"/>
  </colFields>
  <colItems count="6">
    <i>
      <x v="69"/>
    </i>
    <i>
      <x v="70"/>
    </i>
    <i>
      <x v="73"/>
    </i>
    <i>
      <x v="74"/>
    </i>
    <i>
      <x v="75"/>
    </i>
    <i t="grand">
      <x/>
    </i>
  </colItems>
  <pageFields count="1">
    <pageField fld="3" hier="-1"/>
  </pageFields>
  <dataFields count="1">
    <dataField name="Sum of World Rank" fld="0" baseField="0" baseItem="0"/>
  </dataFields>
  <formats count="7">
    <format dxfId="80">
      <pivotArea collapsedLevelsAreSubtotals="1" fieldPosition="0">
        <references count="2">
          <reference field="6" count="1">
            <x v="1"/>
          </reference>
          <reference field="11" count="1" selected="0">
            <x v="74"/>
          </reference>
        </references>
      </pivotArea>
    </format>
    <format dxfId="81">
      <pivotArea field="3" type="button" dataOnly="0" labelOnly="1" outline="0" axis="axisPage" fieldPosition="0"/>
    </format>
    <format dxfId="82">
      <pivotArea dataOnly="0" labelOnly="1" outline="0" fieldPosition="0">
        <references count="1">
          <reference field="3" count="0"/>
        </references>
      </pivotArea>
    </format>
    <format dxfId="83">
      <pivotArea dataOnly="0" labelOnly="1" grandRow="1" outline="0" fieldPosition="0"/>
    </format>
    <format dxfId="84">
      <pivotArea field="11" grandRow="1" outline="0" collapsedLevelsAreSubtotals="1" axis="axisCol" fieldPosition="0">
        <references count="1">
          <reference field="11" count="4" selected="0">
            <x v="70"/>
            <x v="73"/>
            <x v="74"/>
            <x v="75"/>
          </reference>
        </references>
      </pivotArea>
    </format>
    <format dxfId="85">
      <pivotArea grandRow="1" grandCol="1" outline="0" collapsedLevelsAreSubtotals="1" fieldPosition="0"/>
    </format>
    <format dxfId="86">
      <pivotArea field="11" grandRow="1" outline="0" collapsedLevelsAreSubtotals="1" axis="axisCol" fieldPosition="0">
        <references count="1">
          <reference field="11" count="1" selected="0">
            <x v="69"/>
          </reference>
        </references>
      </pivotArea>
    </format>
  </formats>
  <chartFormats count="10">
    <chartFormat chart="0" format="0" series="1">
      <pivotArea type="data" outline="0" fieldPosition="0">
        <references count="2">
          <reference field="4294967294" count="1" selected="0">
            <x v="0"/>
          </reference>
          <reference field="11" count="1" selected="0">
            <x v="69"/>
          </reference>
        </references>
      </pivotArea>
    </chartFormat>
    <chartFormat chart="0" format="1" series="1">
      <pivotArea type="data" outline="0" fieldPosition="0">
        <references count="2">
          <reference field="4294967294" count="1" selected="0">
            <x v="0"/>
          </reference>
          <reference field="11" count="1" selected="0">
            <x v="70"/>
          </reference>
        </references>
      </pivotArea>
    </chartFormat>
    <chartFormat chart="0" format="2" series="1">
      <pivotArea type="data" outline="0" fieldPosition="0">
        <references count="2">
          <reference field="4294967294" count="1" selected="0">
            <x v="0"/>
          </reference>
          <reference field="11" count="1" selected="0">
            <x v="73"/>
          </reference>
        </references>
      </pivotArea>
    </chartFormat>
    <chartFormat chart="0" format="3" series="1">
      <pivotArea type="data" outline="0" fieldPosition="0">
        <references count="2">
          <reference field="4294967294" count="1" selected="0">
            <x v="0"/>
          </reference>
          <reference field="11" count="1" selected="0">
            <x v="74"/>
          </reference>
        </references>
      </pivotArea>
    </chartFormat>
    <chartFormat chart="0" format="4" series="1">
      <pivotArea type="data" outline="0" fieldPosition="0">
        <references count="2">
          <reference field="4294967294" count="1" selected="0">
            <x v="0"/>
          </reference>
          <reference field="11" count="1" selected="0">
            <x v="75"/>
          </reference>
        </references>
      </pivotArea>
    </chartFormat>
    <chartFormat chart="1" format="0" series="1">
      <pivotArea type="data" outline="0" fieldPosition="0">
        <references count="2">
          <reference field="4294967294" count="1" selected="0">
            <x v="0"/>
          </reference>
          <reference field="11" count="1" selected="0">
            <x v="69"/>
          </reference>
        </references>
      </pivotArea>
    </chartFormat>
    <chartFormat chart="1" format="1" series="1">
      <pivotArea type="data" outline="0" fieldPosition="0">
        <references count="2">
          <reference field="4294967294" count="1" selected="0">
            <x v="0"/>
          </reference>
          <reference field="11" count="1" selected="0">
            <x v="70"/>
          </reference>
        </references>
      </pivotArea>
    </chartFormat>
    <chartFormat chart="1" format="2" series="1">
      <pivotArea type="data" outline="0" fieldPosition="0">
        <references count="2">
          <reference field="4294967294" count="1" selected="0">
            <x v="0"/>
          </reference>
          <reference field="11" count="1" selected="0">
            <x v="73"/>
          </reference>
        </references>
      </pivotArea>
    </chartFormat>
    <chartFormat chart="1" format="3" series="1">
      <pivotArea type="data" outline="0" fieldPosition="0">
        <references count="2">
          <reference field="4294967294" count="1" selected="0">
            <x v="0"/>
          </reference>
          <reference field="11" count="1" selected="0">
            <x v="74"/>
          </reference>
        </references>
      </pivotArea>
    </chartFormat>
    <chartFormat chart="1" format="4" series="1">
      <pivotArea type="data" outline="0" fieldPosition="0">
        <references count="2">
          <reference field="4294967294" count="1" selected="0">
            <x v="0"/>
          </reference>
          <reference field="11" count="1" selected="0">
            <x v="7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 xr10:uid="{38C2E1C5-84EA-443D-80BB-DBBFB850DC00}" sourceName="Score">
  <pivotTables>
    <pivotTable tabId="4" name="PivotTable15"/>
  </pivotTables>
  <data>
    <tabular pivotCacheId="2015772143">
      <items count="76">
        <i x="6" s="1"/>
        <i x="5" s="1"/>
        <i x="2" s="1"/>
        <i x="1" s="1"/>
        <i x="0" s="1"/>
        <i x="75" s="1" nd="1"/>
        <i x="74" s="1" nd="1"/>
        <i x="73" s="1" nd="1"/>
        <i x="72" s="1" nd="1"/>
        <i x="71" s="1" nd="1"/>
        <i x="70" s="1" nd="1"/>
        <i x="69" s="1" nd="1"/>
        <i x="68" s="1" nd="1"/>
        <i x="67" s="1" nd="1"/>
        <i x="66" s="1" nd="1"/>
        <i x="65" s="1" nd="1"/>
        <i x="64" s="1" nd="1"/>
        <i x="63" s="1" nd="1"/>
        <i x="62" s="1" nd="1"/>
        <i x="61" s="1" nd="1"/>
        <i x="60" s="1" nd="1"/>
        <i x="59" s="1" nd="1"/>
        <i x="58" s="1" nd="1"/>
        <i x="57" s="1" nd="1"/>
        <i x="56" s="1" nd="1"/>
        <i x="55" s="1" nd="1"/>
        <i x="54" s="1" nd="1"/>
        <i x="53" s="1" nd="1"/>
        <i x="52" s="1" nd="1"/>
        <i x="51" s="1" nd="1"/>
        <i x="50" s="1" nd="1"/>
        <i x="49" s="1" nd="1"/>
        <i x="48" s="1" nd="1"/>
        <i x="47" s="1" nd="1"/>
        <i x="46" s="1" nd="1"/>
        <i x="45" s="1" nd="1"/>
        <i x="44" s="1" nd="1"/>
        <i x="43" s="1" nd="1"/>
        <i x="42" s="1" nd="1"/>
        <i x="41" s="1" nd="1"/>
        <i x="40" s="1" nd="1"/>
        <i x="39" s="1" nd="1"/>
        <i x="38" s="1" nd="1"/>
        <i x="37" s="1" nd="1"/>
        <i x="36" s="1" nd="1"/>
        <i x="35" s="1" nd="1"/>
        <i x="34" s="1" nd="1"/>
        <i x="33" s="1" nd="1"/>
        <i x="32" s="1" nd="1"/>
        <i x="31" s="1" nd="1"/>
        <i x="30" s="1" nd="1"/>
        <i x="29" s="1" nd="1"/>
        <i x="28" s="1" nd="1"/>
        <i x="27" s="1" nd="1"/>
        <i x="26" s="1" nd="1"/>
        <i x="25" s="1" nd="1"/>
        <i x="24" s="1" nd="1"/>
        <i x="23" s="1" nd="1"/>
        <i x="22" s="1" nd="1"/>
        <i x="21" s="1" nd="1"/>
        <i x="20" s="1" nd="1"/>
        <i x="19" s="1" nd="1"/>
        <i x="18" s="1" nd="1"/>
        <i x="17" s="1" nd="1"/>
        <i x="16" s="1" nd="1"/>
        <i x="15" s="1" nd="1"/>
        <i x="14" s="1" nd="1"/>
        <i x="13" s="1" nd="1"/>
        <i x="12" s="1" nd="1"/>
        <i x="11" s="1" nd="1"/>
        <i x="10" s="1" nd="1"/>
        <i x="9" s="1" nd="1"/>
        <i x="8" s="1" nd="1"/>
        <i x="7"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ore" xr10:uid="{E3A00ACC-4D4E-48C0-BCA0-49CEB31C4798}" cache="Slicer_Score" caption="Sco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A678A7-483D-44A5-9C89-EC5B794F66EA}" name="Table5" displayName="Table5" ref="A1:N105" totalsRowShown="0" headerRowDxfId="0" dataDxfId="1">
  <autoFilter ref="A1:N105" xr:uid="{22A678A7-483D-44A5-9C89-EC5B794F66EA}"/>
  <tableColumns count="14">
    <tableColumn id="1" xr3:uid="{E3A18EFE-60D7-48CC-BDFA-B74BB616EA83}" name="World Rank" dataDxfId="15"/>
    <tableColumn id="2" xr3:uid="{6D85F9AA-F08F-4377-96BE-C617BCC715E1}" name="Institution" dataDxfId="14"/>
    <tableColumn id="3" xr3:uid="{7499B9D6-40AA-4F02-A488-C28F6E2D554F}" name="Location" dataDxfId="13"/>
    <tableColumn id="4" xr3:uid="{50F2A047-2633-4A19-A224-ABDEB7585973}" name="National Rank" dataDxfId="12"/>
    <tableColumn id="5" xr3:uid="{775AB136-AA1C-45FF-9724-B77E827BC95D}" name="Quality of Education" dataDxfId="11"/>
    <tableColumn id="6" xr3:uid="{FEED839C-4294-4E10-80D8-CDFF747A35A9}" name="Alumni Employment" dataDxfId="10"/>
    <tableColumn id="7" xr3:uid="{014CC19E-F49B-4B07-B4AE-15BC394A2968}" name="Quality of Faculty" dataDxfId="9"/>
    <tableColumn id="8" xr3:uid="{1FE5E46D-CEE4-44C8-B89E-EA100F96774E}" name="Research Output" dataDxfId="8"/>
    <tableColumn id="9" xr3:uid="{7A10695E-569C-4581-B22E-0119491EF8BB}" name="Quality Publications" dataDxfId="7"/>
    <tableColumn id="10" xr3:uid="{08507279-8C68-4E63-825B-CBF3458972BE}" name="Influence" dataDxfId="6"/>
    <tableColumn id="11" xr3:uid="{12DB41BE-6535-4780-8CDC-D1A87B4FDD40}" name="Citations" dataDxfId="5"/>
    <tableColumn id="12" xr3:uid="{96171808-AC03-43B3-B6AE-912EC36A17AF}" name="Score" dataDxfId="4"/>
    <tableColumn id="13" xr3:uid="{969A5BEA-A1D2-4E5E-809E-CA4261200ABE}" name="Latitude" dataDxfId="3"/>
    <tableColumn id="14" xr3:uid="{4C2D6479-05E9-4670-8ED2-31FC2A58F40B}" name="Longitude" dataDxfId="2"/>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4F1177-E998-4C4A-B3EA-1EAC4B536756}" name="Table4" displayName="Table4" ref="A1:N97" totalsRowShown="0" headerRowDxfId="16" dataDxfId="17">
  <autoFilter ref="A1:N97" xr:uid="{AF4F1177-E998-4C4A-B3EA-1EAC4B536756}"/>
  <tableColumns count="14">
    <tableColumn id="1" xr3:uid="{82B5BA1C-B9A0-40F6-9884-141076879641}" name="World Rank" dataDxfId="31"/>
    <tableColumn id="2" xr3:uid="{99A88779-3290-43D3-8040-679D7A66A4CA}" name="Institution" dataDxfId="30"/>
    <tableColumn id="3" xr3:uid="{C4802783-6CF2-45D8-BFE1-D09AB9F0125E}" name="Location" dataDxfId="29"/>
    <tableColumn id="4" xr3:uid="{912DD457-C825-41C6-B74F-B0B3E5BF5AB7}" name="National Rank" dataDxfId="28"/>
    <tableColumn id="5" xr3:uid="{DBA5A219-64CA-415E-85B3-4A3FC2D915F0}" name="Quality of Education" dataDxfId="27"/>
    <tableColumn id="6" xr3:uid="{A2C9EA4D-7661-461D-B1DA-49CE59307C25}" name="Alumni Employment" dataDxfId="26"/>
    <tableColumn id="7" xr3:uid="{F67AA6C8-B4DC-4007-807F-422848689458}" name="Quality of Faculty" dataDxfId="25"/>
    <tableColumn id="8" xr3:uid="{537AFDF0-F3D4-4936-B700-995C72561D0B}" name="Research Output" dataDxfId="24"/>
    <tableColumn id="9" xr3:uid="{ED0D01FA-D17C-458A-A818-6DC7B8558B88}" name="Quality Publications" dataDxfId="23"/>
    <tableColumn id="10" xr3:uid="{1AB6C274-BA60-42E3-9815-A04638B2077F}" name="Influence" dataDxfId="22"/>
    <tableColumn id="11" xr3:uid="{A0C08F83-82F7-4B7E-994A-F47F6798A859}" name="Citations" dataDxfId="21"/>
    <tableColumn id="12" xr3:uid="{0185432F-7012-4E4E-9F92-21484FC4D53F}" name="Score" dataDxfId="20"/>
    <tableColumn id="13" xr3:uid="{BB7C47CC-4964-46B9-96D6-3D991D0C78A5}" name="Latitude" dataDxfId="19"/>
    <tableColumn id="14" xr3:uid="{7660B0D3-6A42-46F2-B7BC-031F05FF8BCF}" name="Longitude" dataDxfId="18"/>
  </tableColumns>
  <tableStyleInfo name="TableStyleDark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D3BFD3-B4DF-4B7C-9092-E3F54F736AF6}" name="Table3" displayName="Table3" ref="A1:N97" totalsRowShown="0" headerRowDxfId="32" dataDxfId="33">
  <autoFilter ref="A1:N97" xr:uid="{BFD3BFD3-B4DF-4B7C-9092-E3F54F736AF6}"/>
  <tableColumns count="14">
    <tableColumn id="1" xr3:uid="{64BE8659-F7A8-4741-89EA-61BFC6AD5446}" name="World Rank" dataDxfId="47"/>
    <tableColumn id="2" xr3:uid="{29C91020-D0FD-40D4-91E4-D6CC03F15EB8}" name="Institution" dataDxfId="46"/>
    <tableColumn id="3" xr3:uid="{91732C33-FFE4-4BFA-ACE9-21C319333329}" name="Location" dataDxfId="45"/>
    <tableColumn id="4" xr3:uid="{3644BF22-81DB-4562-A9EC-1D535CD38BBA}" name="National Rank" dataDxfId="44"/>
    <tableColumn id="5" xr3:uid="{085F85C7-2EF7-4AEC-BCBB-5A91126C93A4}" name="Quality of Education" dataDxfId="43"/>
    <tableColumn id="6" xr3:uid="{8CA632C1-F49E-42D9-B420-B93E1CCA8716}" name="Alumni Employment" dataDxfId="42"/>
    <tableColumn id="7" xr3:uid="{5FB0795E-319F-46FD-863D-08D086146F54}" name="Quality of Faculty" dataDxfId="41"/>
    <tableColumn id="8" xr3:uid="{015FDC56-4BA3-4386-9FFA-FFD3B04E0EE4}" name="Research Output" dataDxfId="40"/>
    <tableColumn id="9" xr3:uid="{63D0089E-0E43-48F0-BDB8-649E8BE77C53}" name="Quality Publications" dataDxfId="39"/>
    <tableColumn id="10" xr3:uid="{96BCFD61-17BC-41E5-9D43-AA481F625DD6}" name="Influence" dataDxfId="38"/>
    <tableColumn id="11" xr3:uid="{D682161C-DA59-4AAB-9CD4-3442AD525B68}" name="Citations" dataDxfId="37"/>
    <tableColumn id="12" xr3:uid="{313963EE-5680-4177-BD6F-3CB7453E06A4}" name="Score" dataDxfId="36"/>
    <tableColumn id="13" xr3:uid="{2BA33D7B-BF84-4CEE-9DCA-919CF779ABF1}" name="Latitude" dataDxfId="35"/>
    <tableColumn id="14" xr3:uid="{F74643FD-9AD8-481D-8173-5D490BF4AAA9}" name="Longitude" dataDxfId="34"/>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025189-EFC2-4305-BF84-D68DA7CD023A}" name="Table2" displayName="Table2" ref="A1:O97" totalsRowShown="0" headerRowDxfId="48" dataDxfId="49">
  <autoFilter ref="A1:O97" xr:uid="{96025189-EFC2-4305-BF84-D68DA7CD023A}"/>
  <tableColumns count="15">
    <tableColumn id="1" xr3:uid="{FF324E35-620B-4669-A198-7F2D0323D8DB}" name="World Rank" dataDxfId="63"/>
    <tableColumn id="2" xr3:uid="{34B36591-9C04-4718-A8AC-AB7109AED55D}" name="Institution" dataDxfId="62"/>
    <tableColumn id="3" xr3:uid="{3DBA33FE-8624-4E6A-8D39-D2591425B2AF}" name="Location" dataDxfId="61"/>
    <tableColumn id="4" xr3:uid="{FE6AA69A-369C-4EF2-A3C6-12178BCF93B5}" name="National Rank" dataDxfId="60"/>
    <tableColumn id="5" xr3:uid="{2757AB39-EE13-4F02-89F9-9F09E88C0832}" name="Quality of Education" dataDxfId="59"/>
    <tableColumn id="6" xr3:uid="{EEBC07DB-B906-40FA-B19D-4C23036C05CF}" name="Alumni Employment" dataDxfId="58"/>
    <tableColumn id="7" xr3:uid="{4C6BF456-67C9-465F-B357-47DCBEBE2990}" name="Quality of Faculty" dataDxfId="57"/>
    <tableColumn id="8" xr3:uid="{D5B5EAED-A310-4269-A771-A95CBD6EB039}" name="Research Output" dataDxfId="56"/>
    <tableColumn id="9" xr3:uid="{26AF2680-8658-4BBD-8A96-D57E9E8E45CE}" name="Quality Publications" dataDxfId="55"/>
    <tableColumn id="10" xr3:uid="{027DA552-759D-472E-8234-04F8EBD6858D}" name="Influence" dataDxfId="54"/>
    <tableColumn id="11" xr3:uid="{844435A6-DF2C-45EB-8B53-F9F48B8F3094}" name="Citations" dataDxfId="53"/>
    <tableColumn id="12" xr3:uid="{ECA069AB-260C-4E8E-B866-9DF62D6D8927}" name="Score" dataDxfId="52"/>
    <tableColumn id="13" xr3:uid="{142F6FE4-467C-4049-A0B0-A36E200CEEE7}" name="Latitude" dataDxfId="51"/>
    <tableColumn id="14" xr3:uid="{D5DE910A-CA95-434C-8B2C-B9927A9462EB}" name="Longitude" dataDxfId="50"/>
    <tableColumn id="15" xr3:uid="{F2C5AC3A-682E-464D-8A7D-16897F09D5F2}" name="high/low">
      <calculatedColumnFormula>IF(L2&gt;90,"HIGH",IF(L2&gt;80,"MEDIUM","LOW"))</calculatedColumnFormula>
    </tableColumn>
  </tableColumns>
  <tableStyleInfo name="TableStyleLight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B6688A-D48D-4EC6-A56F-EF6117DA24B0}" name="Table1" displayName="Table1" ref="A1:O97" totalsRowShown="0" headerRowDxfId="64" dataDxfId="65">
  <autoFilter ref="A1:O97" xr:uid="{A9B6688A-D48D-4EC6-A56F-EF6117DA24B0}"/>
  <tableColumns count="15">
    <tableColumn id="1" xr3:uid="{75AB662F-E2D4-4AEA-BC19-EC5BD79CE221}" name="World Rank" dataDxfId="79"/>
    <tableColumn id="2" xr3:uid="{D20A5CF4-2A68-4EBA-B20F-1982A2C11114}" name="Institution" dataDxfId="78"/>
    <tableColumn id="3" xr3:uid="{68E055A0-3D27-41DE-8D52-712F6BFCFECE}" name="Location" dataDxfId="77"/>
    <tableColumn id="4" xr3:uid="{0D93F29D-6982-4D06-BCDF-1A35EC4D8AFE}" name="National Rank" dataDxfId="76"/>
    <tableColumn id="5" xr3:uid="{13B4EDE6-1A2B-469A-9294-9847DB88708E}" name="Quality of Education" dataDxfId="75"/>
    <tableColumn id="6" xr3:uid="{0FEECD60-8CED-4A8A-8C81-F40F7A7A550A}" name="Alumni Employment" dataDxfId="74"/>
    <tableColumn id="7" xr3:uid="{02E22AC2-C9DD-459C-87EE-475AC384FA06}" name="Quality of Faculty" dataDxfId="73"/>
    <tableColumn id="8" xr3:uid="{175E3374-F4DC-4E55-84C9-DA97A9DE1AB4}" name="Research Output" dataDxfId="72"/>
    <tableColumn id="9" xr3:uid="{EAB4935C-5AE8-4F27-A9C5-1DAC578E9986}" name="Quality Publications" dataDxfId="71"/>
    <tableColumn id="10" xr3:uid="{D263704F-D97F-47F7-B2CC-FEEC9151595A}" name="Influence" dataDxfId="70"/>
    <tableColumn id="11" xr3:uid="{62B442EE-721A-4195-AC98-EB78F6F9E232}" name="Citations" dataDxfId="69"/>
    <tableColumn id="12" xr3:uid="{851D924F-71A7-43E8-B833-45AA63A5DFDB}" name="Score" dataDxfId="68"/>
    <tableColumn id="13" xr3:uid="{31F0D5AF-D2C8-4A8A-8586-CE9689EBB5C3}" name="Latitude" dataDxfId="67"/>
    <tableColumn id="14" xr3:uid="{9598CFB6-1C80-4FD0-BCFD-49F14E6D999C}" name="Longitude" dataDxfId="66"/>
    <tableColumn id="15" xr3:uid="{C1ADBC59-0BFB-4DD3-9D66-003F99ECBD12}" name="high/low">
      <calculatedColumnFormula>IF(L2&gt;90,"HIGH",IF(L2&gt;80,"MEDIUM","LOW"))</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791E-79EB-412A-9339-6FB62F95B9E7}">
  <dimension ref="A1:N105"/>
  <sheetViews>
    <sheetView workbookViewId="0">
      <selection activeCell="D38" sqref="D38"/>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1</v>
      </c>
      <c r="B2" s="1" t="s">
        <v>14</v>
      </c>
      <c r="C2" s="1" t="s">
        <v>15</v>
      </c>
      <c r="D2" s="1">
        <v>1</v>
      </c>
      <c r="E2" s="1">
        <v>2</v>
      </c>
      <c r="F2" s="1">
        <v>1</v>
      </c>
      <c r="G2" s="1">
        <v>1</v>
      </c>
      <c r="H2" s="1">
        <v>1</v>
      </c>
      <c r="I2" s="1">
        <v>1</v>
      </c>
      <c r="J2" s="1">
        <v>1</v>
      </c>
      <c r="K2" s="1">
        <v>1</v>
      </c>
      <c r="L2" s="1">
        <v>100</v>
      </c>
      <c r="M2" s="1">
        <v>39.783730400000003</v>
      </c>
      <c r="N2" s="1">
        <v>-100.445882</v>
      </c>
    </row>
    <row r="3" spans="1:14">
      <c r="A3" s="1">
        <v>2</v>
      </c>
      <c r="B3" s="1" t="s">
        <v>16</v>
      </c>
      <c r="C3" s="1" t="s">
        <v>15</v>
      </c>
      <c r="D3" s="1">
        <v>2</v>
      </c>
      <c r="E3" s="1">
        <v>10</v>
      </c>
      <c r="F3" s="1">
        <v>3</v>
      </c>
      <c r="G3" s="1">
        <v>2</v>
      </c>
      <c r="H3" s="1">
        <v>10</v>
      </c>
      <c r="I3" s="1">
        <v>4</v>
      </c>
      <c r="J3" s="1">
        <v>3</v>
      </c>
      <c r="K3" s="1">
        <v>2</v>
      </c>
      <c r="L3" s="1">
        <v>96.7</v>
      </c>
      <c r="M3" s="1">
        <v>39.783730400000003</v>
      </c>
      <c r="N3" s="1">
        <v>-100.445882</v>
      </c>
    </row>
    <row r="4" spans="1:14">
      <c r="A4" s="1">
        <v>3</v>
      </c>
      <c r="B4" s="1" t="s">
        <v>17</v>
      </c>
      <c r="C4" s="1" t="s">
        <v>15</v>
      </c>
      <c r="D4" s="1">
        <v>3</v>
      </c>
      <c r="E4" s="1">
        <v>3</v>
      </c>
      <c r="F4" s="1">
        <v>11</v>
      </c>
      <c r="G4" s="1">
        <v>3</v>
      </c>
      <c r="H4" s="1">
        <v>30</v>
      </c>
      <c r="I4" s="1">
        <v>15</v>
      </c>
      <c r="J4" s="1">
        <v>2</v>
      </c>
      <c r="K4" s="1">
        <v>6</v>
      </c>
      <c r="L4" s="1">
        <v>95.1</v>
      </c>
      <c r="M4" s="1">
        <v>39.783730400000003</v>
      </c>
      <c r="N4" s="1">
        <v>-100.445882</v>
      </c>
    </row>
    <row r="5" spans="1:14">
      <c r="A5" s="1">
        <v>4</v>
      </c>
      <c r="B5" s="1" t="s">
        <v>18</v>
      </c>
      <c r="C5" s="1" t="s">
        <v>19</v>
      </c>
      <c r="D5" s="1">
        <v>1</v>
      </c>
      <c r="E5" s="1">
        <v>5</v>
      </c>
      <c r="F5" s="1">
        <v>19</v>
      </c>
      <c r="G5" s="1">
        <v>6</v>
      </c>
      <c r="H5" s="1">
        <v>12</v>
      </c>
      <c r="I5" s="1">
        <v>8</v>
      </c>
      <c r="J5" s="1">
        <v>6</v>
      </c>
      <c r="K5" s="1">
        <v>19</v>
      </c>
      <c r="L5" s="1">
        <v>94</v>
      </c>
      <c r="M5" s="1">
        <v>54.702354499999998</v>
      </c>
      <c r="N5" s="1">
        <v>-3.2765753000000002</v>
      </c>
    </row>
    <row r="6" spans="1:14">
      <c r="A6" s="1">
        <v>5</v>
      </c>
      <c r="B6" s="1" t="s">
        <v>20</v>
      </c>
      <c r="C6" s="1" t="s">
        <v>19</v>
      </c>
      <c r="D6" s="1">
        <v>2</v>
      </c>
      <c r="E6" s="1">
        <v>9</v>
      </c>
      <c r="F6" s="1">
        <v>25</v>
      </c>
      <c r="G6" s="1">
        <v>10</v>
      </c>
      <c r="H6" s="1">
        <v>9</v>
      </c>
      <c r="I6" s="1">
        <v>5</v>
      </c>
      <c r="J6" s="1">
        <v>7</v>
      </c>
      <c r="K6" s="1">
        <v>4</v>
      </c>
      <c r="L6" s="1">
        <v>93.2</v>
      </c>
      <c r="M6" s="1">
        <v>54.702354499999998</v>
      </c>
      <c r="N6" s="1">
        <v>-3.2765753000000002</v>
      </c>
    </row>
    <row r="7" spans="1:14">
      <c r="A7" s="1">
        <v>6</v>
      </c>
      <c r="B7" s="1" t="s">
        <v>21</v>
      </c>
      <c r="C7" s="1" t="s">
        <v>15</v>
      </c>
      <c r="D7" s="1">
        <v>4</v>
      </c>
      <c r="E7" s="1">
        <v>7</v>
      </c>
      <c r="F7" s="1">
        <v>52</v>
      </c>
      <c r="G7" s="1">
        <v>5</v>
      </c>
      <c r="H7" s="1">
        <v>18</v>
      </c>
      <c r="I7" s="1">
        <v>12</v>
      </c>
      <c r="J7" s="1">
        <v>4</v>
      </c>
      <c r="K7" s="1">
        <v>8</v>
      </c>
      <c r="L7" s="1">
        <v>92.5</v>
      </c>
      <c r="M7" s="1">
        <v>39.783730400000003</v>
      </c>
      <c r="N7" s="1">
        <v>-100.445882</v>
      </c>
    </row>
    <row r="8" spans="1:14">
      <c r="A8" s="1">
        <v>7</v>
      </c>
      <c r="B8" s="1" t="s">
        <v>22</v>
      </c>
      <c r="C8" s="1" t="s">
        <v>15</v>
      </c>
      <c r="D8" s="1">
        <v>5</v>
      </c>
      <c r="E8" s="1">
        <v>4</v>
      </c>
      <c r="F8" s="1">
        <v>15</v>
      </c>
      <c r="G8" s="1">
        <v>4</v>
      </c>
      <c r="H8" s="1">
        <v>146</v>
      </c>
      <c r="I8" s="1">
        <v>99</v>
      </c>
      <c r="J8" s="1">
        <v>28</v>
      </c>
      <c r="K8" s="1">
        <v>27</v>
      </c>
      <c r="L8" s="1">
        <v>91.9</v>
      </c>
      <c r="M8" s="1">
        <v>39.783730400000003</v>
      </c>
      <c r="N8" s="1">
        <v>-100.445882</v>
      </c>
    </row>
    <row r="9" spans="1:14">
      <c r="A9" s="1">
        <v>8</v>
      </c>
      <c r="B9" s="1" t="s">
        <v>23</v>
      </c>
      <c r="C9" s="1" t="s">
        <v>15</v>
      </c>
      <c r="D9" s="1">
        <v>6</v>
      </c>
      <c r="E9" s="1">
        <v>16</v>
      </c>
      <c r="F9" s="1">
        <v>13</v>
      </c>
      <c r="G9" s="1">
        <v>8</v>
      </c>
      <c r="H9" s="1">
        <v>20</v>
      </c>
      <c r="I9" s="1">
        <v>14</v>
      </c>
      <c r="J9" s="1">
        <v>10</v>
      </c>
      <c r="K9" s="1">
        <v>10</v>
      </c>
      <c r="L9" s="1">
        <v>91.4</v>
      </c>
      <c r="M9" s="1">
        <v>39.783730400000003</v>
      </c>
      <c r="N9" s="1">
        <v>-100.445882</v>
      </c>
    </row>
    <row r="10" spans="1:14">
      <c r="A10" s="1">
        <v>9</v>
      </c>
      <c r="B10" s="1" t="s">
        <v>24</v>
      </c>
      <c r="C10" s="1" t="s">
        <v>15</v>
      </c>
      <c r="D10" s="1">
        <v>7</v>
      </c>
      <c r="E10" s="1">
        <v>1</v>
      </c>
      <c r="F10" s="1">
        <v>200</v>
      </c>
      <c r="G10" s="1">
        <v>7</v>
      </c>
      <c r="H10" s="1">
        <v>127</v>
      </c>
      <c r="I10" s="1">
        <v>81</v>
      </c>
      <c r="J10" s="1">
        <v>13</v>
      </c>
      <c r="K10" s="1">
        <v>31</v>
      </c>
      <c r="L10" s="1">
        <v>91</v>
      </c>
      <c r="M10" s="1">
        <v>39.783730400000003</v>
      </c>
      <c r="N10" s="1">
        <v>-100.445882</v>
      </c>
    </row>
    <row r="11" spans="1:14">
      <c r="A11" s="1">
        <v>10</v>
      </c>
      <c r="B11" s="1" t="s">
        <v>25</v>
      </c>
      <c r="C11" s="1" t="s">
        <v>15</v>
      </c>
      <c r="D11" s="1">
        <v>8</v>
      </c>
      <c r="E11" s="1">
        <v>13</v>
      </c>
      <c r="F11" s="1">
        <v>22</v>
      </c>
      <c r="G11" s="1">
        <v>9</v>
      </c>
      <c r="H11" s="1">
        <v>39</v>
      </c>
      <c r="I11" s="1">
        <v>22</v>
      </c>
      <c r="J11" s="1">
        <v>18</v>
      </c>
      <c r="K11" s="1">
        <v>10</v>
      </c>
      <c r="L11" s="1">
        <v>90.6</v>
      </c>
      <c r="M11" s="1">
        <v>39.783730400000003</v>
      </c>
      <c r="N11" s="1">
        <v>-100.445882</v>
      </c>
    </row>
    <row r="12" spans="1:14">
      <c r="A12" s="1">
        <v>11</v>
      </c>
      <c r="B12" s="1" t="s">
        <v>26</v>
      </c>
      <c r="C12" s="1" t="s">
        <v>15</v>
      </c>
      <c r="D12" s="1">
        <v>9</v>
      </c>
      <c r="E12" s="1">
        <v>11</v>
      </c>
      <c r="F12" s="1">
        <v>34</v>
      </c>
      <c r="G12" s="1">
        <v>12</v>
      </c>
      <c r="H12" s="1">
        <v>37</v>
      </c>
      <c r="I12" s="1">
        <v>19</v>
      </c>
      <c r="J12" s="1">
        <v>11</v>
      </c>
      <c r="K12" s="1">
        <v>31</v>
      </c>
      <c r="L12" s="1">
        <v>90.3</v>
      </c>
      <c r="M12" s="1">
        <v>39.783730400000003</v>
      </c>
      <c r="N12" s="1">
        <v>-100.445882</v>
      </c>
    </row>
    <row r="13" spans="1:14">
      <c r="A13" s="1">
        <v>12</v>
      </c>
      <c r="B13" s="1" t="s">
        <v>27</v>
      </c>
      <c r="C13" s="1" t="s">
        <v>28</v>
      </c>
      <c r="D13" s="1">
        <v>1</v>
      </c>
      <c r="E13" s="1">
        <v>17</v>
      </c>
      <c r="F13" s="1">
        <v>8</v>
      </c>
      <c r="G13" s="1">
        <v>33</v>
      </c>
      <c r="H13" s="1">
        <v>7</v>
      </c>
      <c r="I13" s="1">
        <v>17</v>
      </c>
      <c r="J13" s="1">
        <v>23</v>
      </c>
      <c r="K13" s="1">
        <v>29</v>
      </c>
      <c r="L13" s="1">
        <v>90</v>
      </c>
      <c r="M13" s="1">
        <v>36.5748441</v>
      </c>
      <c r="N13" s="1">
        <v>139.23941790000001</v>
      </c>
    </row>
    <row r="14" spans="1:14">
      <c r="A14" s="1">
        <v>13</v>
      </c>
      <c r="B14" s="1" t="s">
        <v>29</v>
      </c>
      <c r="C14" s="1" t="s">
        <v>15</v>
      </c>
      <c r="D14" s="1">
        <v>10</v>
      </c>
      <c r="E14" s="1">
        <v>31</v>
      </c>
      <c r="F14" s="1">
        <v>9</v>
      </c>
      <c r="G14" s="1">
        <v>30</v>
      </c>
      <c r="H14" s="1">
        <v>16</v>
      </c>
      <c r="I14" s="1">
        <v>11</v>
      </c>
      <c r="J14" s="1">
        <v>17</v>
      </c>
      <c r="K14" s="1">
        <v>13</v>
      </c>
      <c r="L14" s="1">
        <v>89.7</v>
      </c>
      <c r="M14" s="1">
        <v>39.783730400000003</v>
      </c>
      <c r="N14" s="1">
        <v>-100.445882</v>
      </c>
    </row>
    <row r="15" spans="1:14">
      <c r="A15" s="1">
        <v>14</v>
      </c>
      <c r="B15" s="1" t="s">
        <v>30</v>
      </c>
      <c r="C15" s="1" t="s">
        <v>15</v>
      </c>
      <c r="D15" s="1">
        <v>11</v>
      </c>
      <c r="E15" s="1">
        <v>14</v>
      </c>
      <c r="F15" s="1">
        <v>28</v>
      </c>
      <c r="G15" s="1">
        <v>19</v>
      </c>
      <c r="H15" s="1">
        <v>31</v>
      </c>
      <c r="I15" s="1">
        <v>24</v>
      </c>
      <c r="J15" s="1">
        <v>15</v>
      </c>
      <c r="K15" s="1">
        <v>40</v>
      </c>
      <c r="L15" s="1">
        <v>89.4</v>
      </c>
      <c r="M15" s="1">
        <v>39.783730400000003</v>
      </c>
      <c r="N15" s="1">
        <v>-100.445882</v>
      </c>
    </row>
    <row r="16" spans="1:14">
      <c r="A16" s="1">
        <v>15</v>
      </c>
      <c r="B16" s="1" t="s">
        <v>31</v>
      </c>
      <c r="C16" s="1" t="s">
        <v>15</v>
      </c>
      <c r="D16" s="1">
        <v>12</v>
      </c>
      <c r="E16" s="1">
        <v>58</v>
      </c>
      <c r="F16" s="1">
        <v>63</v>
      </c>
      <c r="G16" s="1">
        <v>11</v>
      </c>
      <c r="H16" s="1">
        <v>13</v>
      </c>
      <c r="I16" s="1">
        <v>10</v>
      </c>
      <c r="J16" s="1">
        <v>14</v>
      </c>
      <c r="K16" s="1">
        <v>5</v>
      </c>
      <c r="L16" s="1">
        <v>89.1</v>
      </c>
      <c r="M16" s="1">
        <v>39.783730400000003</v>
      </c>
      <c r="N16" s="1">
        <v>-100.445882</v>
      </c>
    </row>
    <row r="17" spans="1:14">
      <c r="A17" s="1">
        <v>16</v>
      </c>
      <c r="B17" s="1" t="s">
        <v>32</v>
      </c>
      <c r="C17" s="1" t="s">
        <v>15</v>
      </c>
      <c r="D17" s="1">
        <v>13</v>
      </c>
      <c r="E17" s="1">
        <v>24</v>
      </c>
      <c r="F17" s="1">
        <v>159</v>
      </c>
      <c r="G17" s="1">
        <v>17</v>
      </c>
      <c r="H17" s="1">
        <v>8</v>
      </c>
      <c r="I17" s="1">
        <v>6</v>
      </c>
      <c r="J17" s="1">
        <v>12</v>
      </c>
      <c r="K17" s="1">
        <v>3</v>
      </c>
      <c r="L17" s="1">
        <v>88.9</v>
      </c>
      <c r="M17" s="1">
        <v>39.783730400000003</v>
      </c>
      <c r="N17" s="1">
        <v>-100.445882</v>
      </c>
    </row>
    <row r="18" spans="1:14">
      <c r="A18" s="1">
        <v>17</v>
      </c>
      <c r="B18" s="1" t="s">
        <v>33</v>
      </c>
      <c r="C18" s="1" t="s">
        <v>34</v>
      </c>
      <c r="D18" s="1">
        <v>1</v>
      </c>
      <c r="E18" s="1">
        <v>86</v>
      </c>
      <c r="F18" s="1">
        <v>157</v>
      </c>
      <c r="G18" s="1">
        <v>23</v>
      </c>
      <c r="H18" s="1">
        <v>2</v>
      </c>
      <c r="I18" s="1">
        <v>2</v>
      </c>
      <c r="J18" s="1">
        <v>16</v>
      </c>
      <c r="K18" s="1">
        <v>7</v>
      </c>
      <c r="L18" s="1">
        <v>88.7</v>
      </c>
      <c r="M18" s="1">
        <v>61.066692199999999</v>
      </c>
      <c r="N18" s="1">
        <v>-107.99170700000001</v>
      </c>
    </row>
    <row r="19" spans="1:14">
      <c r="A19" s="1">
        <v>18</v>
      </c>
      <c r="B19" s="1" t="s">
        <v>35</v>
      </c>
      <c r="C19" s="1" t="s">
        <v>15</v>
      </c>
      <c r="D19" s="1">
        <v>14</v>
      </c>
      <c r="E19" s="1">
        <v>47</v>
      </c>
      <c r="F19" s="1">
        <v>38</v>
      </c>
      <c r="G19" s="1">
        <v>68</v>
      </c>
      <c r="H19" s="1">
        <v>3</v>
      </c>
      <c r="I19" s="1">
        <v>3</v>
      </c>
      <c r="J19" s="1">
        <v>20</v>
      </c>
      <c r="K19" s="1">
        <v>10</v>
      </c>
      <c r="L19" s="1">
        <v>88.4</v>
      </c>
      <c r="M19" s="1">
        <v>39.783730400000003</v>
      </c>
      <c r="N19" s="1">
        <v>-100.445882</v>
      </c>
    </row>
    <row r="20" spans="1:14">
      <c r="A20" s="1">
        <v>19</v>
      </c>
      <c r="B20" s="1" t="s">
        <v>36</v>
      </c>
      <c r="C20" s="1" t="s">
        <v>15</v>
      </c>
      <c r="D20" s="1">
        <v>15</v>
      </c>
      <c r="E20" s="1">
        <v>75</v>
      </c>
      <c r="F20" s="1">
        <v>220</v>
      </c>
      <c r="G20" s="1">
        <v>26</v>
      </c>
      <c r="H20" s="1">
        <v>11</v>
      </c>
      <c r="I20" s="1">
        <v>9</v>
      </c>
      <c r="J20" s="1">
        <v>9</v>
      </c>
      <c r="K20" s="1">
        <v>9</v>
      </c>
      <c r="L20" s="1">
        <v>88.2</v>
      </c>
      <c r="M20" s="1">
        <v>39.783730400000003</v>
      </c>
      <c r="N20" s="1">
        <v>-100.445882</v>
      </c>
    </row>
    <row r="21" spans="1:14">
      <c r="A21" s="1">
        <v>20</v>
      </c>
      <c r="B21" s="1" t="s">
        <v>37</v>
      </c>
      <c r="C21" s="1" t="s">
        <v>15</v>
      </c>
      <c r="D21" s="1">
        <v>16</v>
      </c>
      <c r="E21" s="1">
        <v>37</v>
      </c>
      <c r="F21" s="1">
        <v>1001</v>
      </c>
      <c r="G21" s="1">
        <v>16</v>
      </c>
      <c r="H21" s="1">
        <v>28</v>
      </c>
      <c r="I21" s="1">
        <v>16</v>
      </c>
      <c r="J21" s="1">
        <v>5</v>
      </c>
      <c r="K21" s="1">
        <v>16</v>
      </c>
      <c r="L21" s="1">
        <v>88</v>
      </c>
      <c r="M21" s="1">
        <v>39.783730400000003</v>
      </c>
      <c r="N21" s="1">
        <v>-100.445882</v>
      </c>
    </row>
    <row r="22" spans="1:14">
      <c r="A22" s="1">
        <v>21</v>
      </c>
      <c r="B22" s="1" t="s">
        <v>38</v>
      </c>
      <c r="C22" s="1" t="s">
        <v>19</v>
      </c>
      <c r="D22" s="1">
        <v>3</v>
      </c>
      <c r="E22" s="1">
        <v>32</v>
      </c>
      <c r="F22" s="1">
        <v>739</v>
      </c>
      <c r="G22" s="1">
        <v>28</v>
      </c>
      <c r="H22" s="1">
        <v>5</v>
      </c>
      <c r="I22" s="1">
        <v>7</v>
      </c>
      <c r="J22" s="1">
        <v>19</v>
      </c>
      <c r="K22" s="1">
        <v>19</v>
      </c>
      <c r="L22" s="1">
        <v>87.8</v>
      </c>
      <c r="M22" s="1">
        <v>54.702354499999998</v>
      </c>
      <c r="N22" s="1">
        <v>-3.2765753000000002</v>
      </c>
    </row>
    <row r="23" spans="1:14">
      <c r="A23" s="1">
        <v>22</v>
      </c>
      <c r="B23" s="1" t="s">
        <v>39</v>
      </c>
      <c r="C23" s="1" t="s">
        <v>15</v>
      </c>
      <c r="D23" s="1">
        <v>17</v>
      </c>
      <c r="E23" s="1">
        <v>667</v>
      </c>
      <c r="F23" s="1">
        <v>1001</v>
      </c>
      <c r="G23" s="1">
        <v>13</v>
      </c>
      <c r="H23" s="1">
        <v>45</v>
      </c>
      <c r="I23" s="1">
        <v>23</v>
      </c>
      <c r="J23" s="1">
        <v>8</v>
      </c>
      <c r="K23" s="1">
        <v>17</v>
      </c>
      <c r="L23" s="1">
        <v>87.7</v>
      </c>
      <c r="M23" s="1">
        <v>39.783730400000003</v>
      </c>
      <c r="N23" s="1">
        <v>-100.445882</v>
      </c>
    </row>
    <row r="24" spans="1:14">
      <c r="A24" s="1">
        <v>23</v>
      </c>
      <c r="B24" s="1" t="s">
        <v>40</v>
      </c>
      <c r="C24" s="1" t="s">
        <v>15</v>
      </c>
      <c r="D24" s="1">
        <v>18</v>
      </c>
      <c r="E24" s="1">
        <v>129</v>
      </c>
      <c r="F24" s="1">
        <v>18</v>
      </c>
      <c r="G24" s="1">
        <v>44</v>
      </c>
      <c r="H24" s="1">
        <v>52</v>
      </c>
      <c r="I24" s="1">
        <v>28</v>
      </c>
      <c r="J24" s="1">
        <v>36</v>
      </c>
      <c r="K24" s="1">
        <v>34</v>
      </c>
      <c r="L24" s="1">
        <v>87.5</v>
      </c>
      <c r="M24" s="1">
        <v>39.783730400000003</v>
      </c>
      <c r="N24" s="1">
        <v>-100.445882</v>
      </c>
    </row>
    <row r="25" spans="1:14">
      <c r="A25" s="1">
        <v>24</v>
      </c>
      <c r="B25" s="1" t="s">
        <v>41</v>
      </c>
      <c r="C25" s="1" t="s">
        <v>15</v>
      </c>
      <c r="D25" s="1">
        <v>19</v>
      </c>
      <c r="E25" s="1">
        <v>98</v>
      </c>
      <c r="F25" s="1">
        <v>46</v>
      </c>
      <c r="G25" s="1">
        <v>47</v>
      </c>
      <c r="H25" s="1">
        <v>36</v>
      </c>
      <c r="I25" s="1">
        <v>20</v>
      </c>
      <c r="J25" s="1">
        <v>21</v>
      </c>
      <c r="K25" s="1">
        <v>14</v>
      </c>
      <c r="L25" s="1">
        <v>87.3</v>
      </c>
      <c r="M25" s="1">
        <v>39.783730400000003</v>
      </c>
      <c r="N25" s="1">
        <v>-100.445882</v>
      </c>
    </row>
    <row r="26" spans="1:14">
      <c r="A26" s="1">
        <v>25</v>
      </c>
      <c r="B26" s="1" t="s">
        <v>42</v>
      </c>
      <c r="C26" s="1" t="s">
        <v>15</v>
      </c>
      <c r="D26" s="1">
        <v>20</v>
      </c>
      <c r="E26" s="1">
        <v>64</v>
      </c>
      <c r="F26" s="1">
        <v>40</v>
      </c>
      <c r="G26" s="1">
        <v>18</v>
      </c>
      <c r="H26" s="1">
        <v>70</v>
      </c>
      <c r="I26" s="1">
        <v>50</v>
      </c>
      <c r="J26" s="1">
        <v>29</v>
      </c>
      <c r="K26" s="1">
        <v>35</v>
      </c>
      <c r="L26" s="1">
        <v>87.2</v>
      </c>
      <c r="M26" s="1">
        <v>39.783730400000003</v>
      </c>
      <c r="N26" s="1">
        <v>-100.445882</v>
      </c>
    </row>
    <row r="27" spans="1:14">
      <c r="A27" s="1">
        <v>26</v>
      </c>
      <c r="B27" s="1" t="s">
        <v>43</v>
      </c>
      <c r="C27" s="1" t="s">
        <v>28</v>
      </c>
      <c r="D27" s="1">
        <v>2</v>
      </c>
      <c r="E27" s="1">
        <v>25</v>
      </c>
      <c r="F27" s="1">
        <v>29</v>
      </c>
      <c r="G27" s="1">
        <v>24</v>
      </c>
      <c r="H27" s="1">
        <v>29</v>
      </c>
      <c r="I27" s="1">
        <v>45</v>
      </c>
      <c r="J27" s="1">
        <v>48</v>
      </c>
      <c r="K27" s="1">
        <v>101</v>
      </c>
      <c r="L27" s="1">
        <v>87</v>
      </c>
      <c r="M27" s="1">
        <v>36.5748441</v>
      </c>
      <c r="N27" s="1">
        <v>139.23941790000001</v>
      </c>
    </row>
    <row r="28" spans="1:14">
      <c r="A28" s="1">
        <v>27</v>
      </c>
      <c r="B28" s="1" t="s">
        <v>44</v>
      </c>
      <c r="C28" s="1" t="s">
        <v>15</v>
      </c>
      <c r="D28" s="1">
        <v>21</v>
      </c>
      <c r="E28" s="1">
        <v>65</v>
      </c>
      <c r="F28" s="1">
        <v>79</v>
      </c>
      <c r="G28" s="1">
        <v>32</v>
      </c>
      <c r="H28" s="1">
        <v>32</v>
      </c>
      <c r="I28" s="1">
        <v>26</v>
      </c>
      <c r="J28" s="1">
        <v>30</v>
      </c>
      <c r="K28" s="1">
        <v>15</v>
      </c>
      <c r="L28" s="1">
        <v>86.9</v>
      </c>
      <c r="M28" s="1">
        <v>39.783730400000003</v>
      </c>
      <c r="N28" s="1">
        <v>-100.445882</v>
      </c>
    </row>
    <row r="29" spans="1:14">
      <c r="A29" s="1">
        <v>28</v>
      </c>
      <c r="B29" s="1" t="s">
        <v>45</v>
      </c>
      <c r="C29" s="1" t="s">
        <v>46</v>
      </c>
      <c r="D29" s="1">
        <v>1</v>
      </c>
      <c r="E29" s="1">
        <v>29</v>
      </c>
      <c r="F29" s="1">
        <v>98</v>
      </c>
      <c r="G29" s="1">
        <v>20</v>
      </c>
      <c r="H29" s="1">
        <v>57</v>
      </c>
      <c r="I29" s="1">
        <v>42</v>
      </c>
      <c r="J29" s="1">
        <v>27</v>
      </c>
      <c r="K29" s="1">
        <v>59</v>
      </c>
      <c r="L29" s="1">
        <v>86.7</v>
      </c>
      <c r="M29" s="1">
        <v>46.798562400000002</v>
      </c>
      <c r="N29" s="1">
        <v>8.2319735999999999</v>
      </c>
    </row>
    <row r="30" spans="1:14">
      <c r="A30" s="1">
        <v>29</v>
      </c>
      <c r="B30" s="1" t="s">
        <v>47</v>
      </c>
      <c r="C30" s="1" t="s">
        <v>48</v>
      </c>
      <c r="D30" s="1">
        <v>1</v>
      </c>
      <c r="E30" s="1">
        <v>46</v>
      </c>
      <c r="F30" s="1">
        <v>344</v>
      </c>
      <c r="G30" s="1">
        <v>56</v>
      </c>
      <c r="H30" s="1">
        <v>6</v>
      </c>
      <c r="I30" s="1">
        <v>13</v>
      </c>
      <c r="J30" s="1">
        <v>24</v>
      </c>
      <c r="K30" s="1">
        <v>22</v>
      </c>
      <c r="L30" s="1">
        <v>86.6</v>
      </c>
      <c r="M30" s="1">
        <v>46.603354000000003</v>
      </c>
      <c r="N30" s="1">
        <v>1.8883335000000001</v>
      </c>
    </row>
    <row r="31" spans="1:14">
      <c r="A31" s="1">
        <v>30</v>
      </c>
      <c r="B31" s="1" t="s">
        <v>49</v>
      </c>
      <c r="C31" s="1" t="s">
        <v>19</v>
      </c>
      <c r="D31" s="1">
        <v>4</v>
      </c>
      <c r="E31" s="1">
        <v>93</v>
      </c>
      <c r="F31" s="1">
        <v>103</v>
      </c>
      <c r="G31" s="1">
        <v>43</v>
      </c>
      <c r="H31" s="1">
        <v>21</v>
      </c>
      <c r="I31" s="1">
        <v>18</v>
      </c>
      <c r="J31" s="1">
        <v>25</v>
      </c>
      <c r="K31" s="1">
        <v>29</v>
      </c>
      <c r="L31" s="1">
        <v>86.5</v>
      </c>
      <c r="M31" s="1">
        <v>54.702354499999998</v>
      </c>
      <c r="N31" s="1">
        <v>-3.2765753000000002</v>
      </c>
    </row>
    <row r="32" spans="1:14">
      <c r="A32" s="1">
        <v>31</v>
      </c>
      <c r="B32" s="1" t="s">
        <v>50</v>
      </c>
      <c r="C32" s="1" t="s">
        <v>15</v>
      </c>
      <c r="D32" s="1">
        <v>22</v>
      </c>
      <c r="E32" s="1">
        <v>108</v>
      </c>
      <c r="F32" s="1">
        <v>62</v>
      </c>
      <c r="G32" s="1">
        <v>29</v>
      </c>
      <c r="H32" s="1">
        <v>73</v>
      </c>
      <c r="I32" s="1">
        <v>58</v>
      </c>
      <c r="J32" s="1">
        <v>58</v>
      </c>
      <c r="K32" s="1">
        <v>24</v>
      </c>
      <c r="L32" s="1">
        <v>86.3</v>
      </c>
      <c r="M32" s="1">
        <v>39.783730400000003</v>
      </c>
      <c r="N32" s="1">
        <v>-100.445882</v>
      </c>
    </row>
    <row r="33" spans="1:14">
      <c r="A33" s="1">
        <v>32</v>
      </c>
      <c r="B33" s="1" t="s">
        <v>51</v>
      </c>
      <c r="C33" s="1" t="s">
        <v>15</v>
      </c>
      <c r="D33" s="1">
        <v>23</v>
      </c>
      <c r="E33" s="1">
        <v>40</v>
      </c>
      <c r="F33" s="1">
        <v>150</v>
      </c>
      <c r="G33" s="1">
        <v>27</v>
      </c>
      <c r="H33" s="1">
        <v>65</v>
      </c>
      <c r="I33" s="1">
        <v>55</v>
      </c>
      <c r="J33" s="1">
        <v>61</v>
      </c>
      <c r="K33" s="1">
        <v>50</v>
      </c>
      <c r="L33" s="1">
        <v>86.2</v>
      </c>
      <c r="M33" s="1">
        <v>39.783730400000003</v>
      </c>
      <c r="N33" s="1">
        <v>-100.445882</v>
      </c>
    </row>
    <row r="34" spans="1:14">
      <c r="A34" s="1">
        <v>33</v>
      </c>
      <c r="B34" s="1" t="s">
        <v>52</v>
      </c>
      <c r="C34" s="1" t="s">
        <v>15</v>
      </c>
      <c r="D34" s="1">
        <v>24</v>
      </c>
      <c r="E34" s="1">
        <v>205</v>
      </c>
      <c r="F34" s="1">
        <v>120</v>
      </c>
      <c r="G34" s="1">
        <v>72</v>
      </c>
      <c r="H34" s="1">
        <v>50</v>
      </c>
      <c r="I34" s="1">
        <v>30</v>
      </c>
      <c r="J34" s="1">
        <v>33</v>
      </c>
      <c r="K34" s="1">
        <v>21</v>
      </c>
      <c r="L34" s="1">
        <v>86.1</v>
      </c>
      <c r="M34" s="1">
        <v>39.783730400000003</v>
      </c>
      <c r="N34" s="1">
        <v>-100.445882</v>
      </c>
    </row>
    <row r="35" spans="1:14">
      <c r="A35" s="1">
        <v>34</v>
      </c>
      <c r="B35" s="1" t="s">
        <v>53</v>
      </c>
      <c r="C35" s="1" t="s">
        <v>19</v>
      </c>
      <c r="D35" s="1">
        <v>5</v>
      </c>
      <c r="E35" s="1">
        <v>61</v>
      </c>
      <c r="F35" s="1">
        <v>325</v>
      </c>
      <c r="G35" s="1">
        <v>36</v>
      </c>
      <c r="H35" s="1">
        <v>72</v>
      </c>
      <c r="I35" s="1">
        <v>56</v>
      </c>
      <c r="J35" s="1">
        <v>31</v>
      </c>
      <c r="K35" s="1">
        <v>48</v>
      </c>
      <c r="L35" s="1">
        <v>86</v>
      </c>
      <c r="M35" s="1">
        <v>54.702354499999998</v>
      </c>
      <c r="N35" s="1">
        <v>-3.2765753000000002</v>
      </c>
    </row>
    <row r="36" spans="1:14">
      <c r="A36" s="1">
        <v>35</v>
      </c>
      <c r="B36" s="1" t="s">
        <v>54</v>
      </c>
      <c r="C36" s="1" t="s">
        <v>15</v>
      </c>
      <c r="D36" s="1">
        <v>25</v>
      </c>
      <c r="E36" s="1">
        <v>131</v>
      </c>
      <c r="F36" s="1">
        <v>302</v>
      </c>
      <c r="G36" s="1">
        <v>76</v>
      </c>
      <c r="H36" s="1">
        <v>24</v>
      </c>
      <c r="I36" s="1">
        <v>21</v>
      </c>
      <c r="J36" s="1">
        <v>35</v>
      </c>
      <c r="K36" s="1">
        <v>28</v>
      </c>
      <c r="L36" s="1">
        <v>85.9</v>
      </c>
      <c r="M36" s="1">
        <v>39.783730400000003</v>
      </c>
      <c r="N36" s="1">
        <v>-100.445882</v>
      </c>
    </row>
    <row r="37" spans="1:14">
      <c r="A37" s="1">
        <v>36</v>
      </c>
      <c r="B37" s="1" t="s">
        <v>55</v>
      </c>
      <c r="C37" s="1" t="s">
        <v>15</v>
      </c>
      <c r="D37" s="1">
        <v>26</v>
      </c>
      <c r="E37" s="1">
        <v>206</v>
      </c>
      <c r="F37" s="1">
        <v>161</v>
      </c>
      <c r="G37" s="1">
        <v>64</v>
      </c>
      <c r="H37" s="1">
        <v>81</v>
      </c>
      <c r="I37" s="1">
        <v>46</v>
      </c>
      <c r="J37" s="1">
        <v>22</v>
      </c>
      <c r="K37" s="1">
        <v>22</v>
      </c>
      <c r="L37" s="1">
        <v>85.8</v>
      </c>
      <c r="M37" s="1">
        <v>39.783730400000003</v>
      </c>
      <c r="N37" s="1">
        <v>-100.445882</v>
      </c>
    </row>
    <row r="38" spans="1:14">
      <c r="A38" s="1">
        <v>37</v>
      </c>
      <c r="B38" s="1" t="s">
        <v>56</v>
      </c>
      <c r="C38" s="1" t="s">
        <v>34</v>
      </c>
      <c r="D38" s="1">
        <v>2</v>
      </c>
      <c r="E38" s="1">
        <v>68</v>
      </c>
      <c r="F38" s="1">
        <v>86</v>
      </c>
      <c r="G38" s="1">
        <v>65</v>
      </c>
      <c r="H38" s="1">
        <v>44</v>
      </c>
      <c r="I38" s="1">
        <v>36</v>
      </c>
      <c r="J38" s="1">
        <v>53</v>
      </c>
      <c r="K38" s="1">
        <v>39</v>
      </c>
      <c r="L38" s="1">
        <v>85.6</v>
      </c>
      <c r="M38" s="1">
        <v>61.066692199999999</v>
      </c>
      <c r="N38" s="1">
        <v>-107.99170700000001</v>
      </c>
    </row>
    <row r="39" spans="1:14">
      <c r="A39" s="1">
        <v>38</v>
      </c>
      <c r="B39" s="1" t="s">
        <v>57</v>
      </c>
      <c r="C39" s="1" t="s">
        <v>34</v>
      </c>
      <c r="D39" s="1">
        <v>3</v>
      </c>
      <c r="E39" s="1">
        <v>173</v>
      </c>
      <c r="F39" s="1">
        <v>699</v>
      </c>
      <c r="G39" s="1">
        <v>78</v>
      </c>
      <c r="H39" s="1">
        <v>25</v>
      </c>
      <c r="I39" s="1">
        <v>27</v>
      </c>
      <c r="J39" s="1">
        <v>37</v>
      </c>
      <c r="K39" s="1">
        <v>24</v>
      </c>
      <c r="L39" s="1">
        <v>85.5</v>
      </c>
      <c r="M39" s="1">
        <v>61.066692199999999</v>
      </c>
      <c r="N39" s="1">
        <v>-107.99170700000001</v>
      </c>
    </row>
    <row r="40" spans="1:14">
      <c r="A40" s="1">
        <v>39</v>
      </c>
      <c r="B40" s="1" t="s">
        <v>58</v>
      </c>
      <c r="C40" s="1" t="s">
        <v>59</v>
      </c>
      <c r="D40" s="1">
        <v>1</v>
      </c>
      <c r="E40" s="1">
        <v>302</v>
      </c>
      <c r="F40" s="1">
        <v>364</v>
      </c>
      <c r="G40" s="1">
        <v>79</v>
      </c>
      <c r="H40" s="1">
        <v>26</v>
      </c>
      <c r="I40" s="1">
        <v>29</v>
      </c>
      <c r="J40" s="1">
        <v>26</v>
      </c>
      <c r="K40" s="1">
        <v>38</v>
      </c>
      <c r="L40" s="1">
        <v>85.4</v>
      </c>
      <c r="M40" s="1">
        <v>55.670248999999998</v>
      </c>
      <c r="N40" s="1">
        <v>10.3333283</v>
      </c>
    </row>
    <row r="41" spans="1:14">
      <c r="A41" s="1">
        <v>40</v>
      </c>
      <c r="B41" s="1" t="s">
        <v>60</v>
      </c>
      <c r="C41" s="1" t="s">
        <v>15</v>
      </c>
      <c r="D41" s="1">
        <v>27</v>
      </c>
      <c r="E41" s="1">
        <v>165</v>
      </c>
      <c r="F41" s="1">
        <v>254</v>
      </c>
      <c r="G41" s="1">
        <v>70</v>
      </c>
      <c r="H41" s="1">
        <v>33</v>
      </c>
      <c r="I41" s="1">
        <v>31</v>
      </c>
      <c r="J41" s="1">
        <v>50</v>
      </c>
      <c r="K41" s="1">
        <v>35</v>
      </c>
      <c r="L41" s="1">
        <v>85.3</v>
      </c>
      <c r="M41" s="1">
        <v>39.783730400000003</v>
      </c>
      <c r="N41" s="1">
        <v>-100.445882</v>
      </c>
    </row>
    <row r="42" spans="1:14">
      <c r="A42" s="1">
        <v>41</v>
      </c>
      <c r="B42" s="1" t="s">
        <v>61</v>
      </c>
      <c r="C42" s="1" t="s">
        <v>15</v>
      </c>
      <c r="D42" s="1">
        <v>28</v>
      </c>
      <c r="E42" s="1">
        <v>212</v>
      </c>
      <c r="F42" s="1">
        <v>101</v>
      </c>
      <c r="G42" s="1">
        <v>35</v>
      </c>
      <c r="H42" s="1">
        <v>74</v>
      </c>
      <c r="I42" s="1">
        <v>67</v>
      </c>
      <c r="J42" s="1">
        <v>62</v>
      </c>
      <c r="K42" s="1">
        <v>59</v>
      </c>
      <c r="L42" s="1">
        <v>85.2</v>
      </c>
      <c r="M42" s="1">
        <v>39.783730400000003</v>
      </c>
      <c r="N42" s="1">
        <v>-100.445882</v>
      </c>
    </row>
    <row r="43" spans="1:14">
      <c r="A43" s="1">
        <v>42</v>
      </c>
      <c r="B43" s="1" t="s">
        <v>62</v>
      </c>
      <c r="C43" s="1" t="s">
        <v>15</v>
      </c>
      <c r="D43" s="1">
        <v>29</v>
      </c>
      <c r="E43" s="1">
        <v>83</v>
      </c>
      <c r="F43" s="1">
        <v>579</v>
      </c>
      <c r="G43" s="1">
        <v>75</v>
      </c>
      <c r="H43" s="1">
        <v>42</v>
      </c>
      <c r="I43" s="1">
        <v>35</v>
      </c>
      <c r="J43" s="1">
        <v>39</v>
      </c>
      <c r="K43" s="1">
        <v>31</v>
      </c>
      <c r="L43" s="1">
        <v>85.1</v>
      </c>
      <c r="M43" s="1">
        <v>39.783730400000003</v>
      </c>
      <c r="N43" s="1">
        <v>-100.445882</v>
      </c>
    </row>
    <row r="44" spans="1:14">
      <c r="A44" s="1">
        <v>43</v>
      </c>
      <c r="B44" s="1" t="s">
        <v>63</v>
      </c>
      <c r="C44" s="1" t="s">
        <v>15</v>
      </c>
      <c r="D44" s="1">
        <v>30</v>
      </c>
      <c r="E44" s="1">
        <v>374</v>
      </c>
      <c r="F44" s="1">
        <v>168</v>
      </c>
      <c r="G44" s="1">
        <v>60</v>
      </c>
      <c r="H44" s="1">
        <v>43</v>
      </c>
      <c r="I44" s="1">
        <v>40</v>
      </c>
      <c r="J44" s="1">
        <v>41</v>
      </c>
      <c r="K44" s="1">
        <v>51</v>
      </c>
      <c r="L44" s="1">
        <v>85</v>
      </c>
      <c r="M44" s="1">
        <v>39.783730400000003</v>
      </c>
      <c r="N44" s="1">
        <v>-100.445882</v>
      </c>
    </row>
    <row r="45" spans="1:14">
      <c r="A45" s="1">
        <v>44</v>
      </c>
      <c r="B45" s="1" t="s">
        <v>64</v>
      </c>
      <c r="C45" s="1" t="s">
        <v>19</v>
      </c>
      <c r="D45" s="1">
        <v>6</v>
      </c>
      <c r="E45" s="1">
        <v>171</v>
      </c>
      <c r="F45" s="1">
        <v>227</v>
      </c>
      <c r="G45" s="1">
        <v>63</v>
      </c>
      <c r="H45" s="1">
        <v>49</v>
      </c>
      <c r="I45" s="1">
        <v>48</v>
      </c>
      <c r="J45" s="1">
        <v>65</v>
      </c>
      <c r="K45" s="1">
        <v>35</v>
      </c>
      <c r="L45" s="1">
        <v>85</v>
      </c>
      <c r="M45" s="1">
        <v>54.702354499999998</v>
      </c>
      <c r="N45" s="1">
        <v>-3.2765753000000002</v>
      </c>
    </row>
    <row r="46" spans="1:14">
      <c r="A46" s="1">
        <v>45</v>
      </c>
      <c r="B46" s="1" t="s">
        <v>65</v>
      </c>
      <c r="C46" s="1" t="s">
        <v>66</v>
      </c>
      <c r="D46" s="1">
        <v>1</v>
      </c>
      <c r="E46" s="1">
        <v>8</v>
      </c>
      <c r="F46" s="1">
        <v>1001</v>
      </c>
      <c r="G46" s="1">
        <v>22</v>
      </c>
      <c r="H46" s="1">
        <v>445</v>
      </c>
      <c r="I46" s="1">
        <v>292</v>
      </c>
      <c r="J46" s="1">
        <v>69</v>
      </c>
      <c r="K46" s="1">
        <v>254</v>
      </c>
      <c r="L46" s="1">
        <v>84.9</v>
      </c>
      <c r="M46" s="1">
        <v>39.3181528</v>
      </c>
      <c r="N46" s="1">
        <v>-79.810901400000006</v>
      </c>
    </row>
    <row r="47" spans="1:14">
      <c r="A47" s="1">
        <v>46</v>
      </c>
      <c r="B47" s="1" t="s">
        <v>67</v>
      </c>
      <c r="C47" s="1" t="s">
        <v>68</v>
      </c>
      <c r="D47" s="1">
        <v>1</v>
      </c>
      <c r="E47" s="1">
        <v>71</v>
      </c>
      <c r="F47" s="1">
        <v>807</v>
      </c>
      <c r="G47" s="1">
        <v>51</v>
      </c>
      <c r="H47" s="1">
        <v>63</v>
      </c>
      <c r="I47" s="1">
        <v>64</v>
      </c>
      <c r="J47" s="1">
        <v>51</v>
      </c>
      <c r="K47" s="1">
        <v>53</v>
      </c>
      <c r="L47" s="1">
        <v>84.8</v>
      </c>
      <c r="M47" s="1">
        <v>40.420347900000003</v>
      </c>
      <c r="N47" s="1">
        <v>-79.116698299999996</v>
      </c>
    </row>
    <row r="48" spans="1:14">
      <c r="A48" s="1">
        <v>47</v>
      </c>
      <c r="B48" s="1" t="s">
        <v>69</v>
      </c>
      <c r="C48" s="1" t="s">
        <v>15</v>
      </c>
      <c r="D48" s="1">
        <v>31</v>
      </c>
      <c r="E48" s="1">
        <v>103</v>
      </c>
      <c r="F48" s="1">
        <v>480</v>
      </c>
      <c r="G48" s="1">
        <v>55</v>
      </c>
      <c r="H48" s="1">
        <v>92</v>
      </c>
      <c r="I48" s="1">
        <v>72</v>
      </c>
      <c r="J48" s="1">
        <v>45</v>
      </c>
      <c r="K48" s="1">
        <v>42</v>
      </c>
      <c r="L48" s="1">
        <v>84.7</v>
      </c>
      <c r="M48" s="1">
        <v>39.783730400000003</v>
      </c>
      <c r="N48" s="1">
        <v>-100.445882</v>
      </c>
    </row>
    <row r="49" spans="1:14">
      <c r="A49" s="1">
        <v>48</v>
      </c>
      <c r="B49" s="1" t="s">
        <v>70</v>
      </c>
      <c r="C49" s="1" t="s">
        <v>68</v>
      </c>
      <c r="D49" s="1">
        <v>2</v>
      </c>
      <c r="E49" s="1">
        <v>91</v>
      </c>
      <c r="F49" s="1">
        <v>266</v>
      </c>
      <c r="G49" s="1">
        <v>83</v>
      </c>
      <c r="H49" s="1">
        <v>53</v>
      </c>
      <c r="I49" s="1">
        <v>57</v>
      </c>
      <c r="J49" s="1">
        <v>42</v>
      </c>
      <c r="K49" s="1">
        <v>46</v>
      </c>
      <c r="L49" s="1">
        <v>84.6</v>
      </c>
      <c r="M49" s="1">
        <v>40.420347900000003</v>
      </c>
      <c r="N49" s="1">
        <v>-79.116698299999996</v>
      </c>
    </row>
    <row r="50" spans="1:14">
      <c r="A50" s="1">
        <v>49</v>
      </c>
      <c r="B50" s="1" t="s">
        <v>71</v>
      </c>
      <c r="C50" s="1" t="s">
        <v>72</v>
      </c>
      <c r="D50" s="1">
        <v>1</v>
      </c>
      <c r="E50" s="1">
        <v>162</v>
      </c>
      <c r="F50" s="1">
        <v>1001</v>
      </c>
      <c r="G50" s="1">
        <v>46</v>
      </c>
      <c r="H50" s="1">
        <v>67</v>
      </c>
      <c r="I50" s="1">
        <v>53</v>
      </c>
      <c r="J50" s="1">
        <v>46</v>
      </c>
      <c r="K50" s="1">
        <v>108</v>
      </c>
      <c r="L50" s="1">
        <v>84.5</v>
      </c>
      <c r="M50" s="1">
        <v>44.133434999999999</v>
      </c>
      <c r="N50" s="1">
        <v>-70.822677999999996</v>
      </c>
    </row>
    <row r="51" spans="1:14">
      <c r="A51" s="1">
        <v>50</v>
      </c>
      <c r="B51" s="1" t="s">
        <v>73</v>
      </c>
      <c r="C51" s="1" t="s">
        <v>15</v>
      </c>
      <c r="D51" s="1">
        <v>32</v>
      </c>
      <c r="E51" s="1">
        <v>134</v>
      </c>
      <c r="F51" s="1">
        <v>170</v>
      </c>
      <c r="G51" s="1">
        <v>41</v>
      </c>
      <c r="H51" s="1">
        <v>145</v>
      </c>
      <c r="I51" s="1">
        <v>111</v>
      </c>
      <c r="J51" s="1">
        <v>40</v>
      </c>
      <c r="K51" s="1">
        <v>59</v>
      </c>
      <c r="L51" s="1">
        <v>84.4</v>
      </c>
      <c r="M51" s="1">
        <v>39.783730400000003</v>
      </c>
      <c r="N51" s="1">
        <v>-100.445882</v>
      </c>
    </row>
    <row r="52" spans="1:14">
      <c r="A52" s="1">
        <v>51</v>
      </c>
      <c r="B52" s="1" t="s">
        <v>74</v>
      </c>
      <c r="C52" s="1" t="s">
        <v>15</v>
      </c>
      <c r="D52" s="1">
        <v>33</v>
      </c>
      <c r="E52" s="1">
        <v>215</v>
      </c>
      <c r="F52" s="1">
        <v>111</v>
      </c>
      <c r="G52" s="1">
        <v>40</v>
      </c>
      <c r="H52" s="1">
        <v>121</v>
      </c>
      <c r="I52" s="1">
        <v>88</v>
      </c>
      <c r="J52" s="1">
        <v>74</v>
      </c>
      <c r="K52" s="1">
        <v>66</v>
      </c>
      <c r="L52" s="1">
        <v>84.4</v>
      </c>
      <c r="M52" s="1">
        <v>39.783730400000003</v>
      </c>
      <c r="N52" s="1">
        <v>-100.445882</v>
      </c>
    </row>
    <row r="53" spans="1:14">
      <c r="A53" s="1">
        <v>52</v>
      </c>
      <c r="B53" s="1" t="s">
        <v>75</v>
      </c>
      <c r="C53" s="1" t="s">
        <v>15</v>
      </c>
      <c r="D53" s="1">
        <v>34</v>
      </c>
      <c r="E53" s="1">
        <v>166</v>
      </c>
      <c r="F53" s="1">
        <v>164</v>
      </c>
      <c r="G53" s="1">
        <v>53</v>
      </c>
      <c r="H53" s="1">
        <v>111</v>
      </c>
      <c r="I53" s="1">
        <v>96</v>
      </c>
      <c r="J53" s="1">
        <v>43</v>
      </c>
      <c r="K53" s="1">
        <v>48</v>
      </c>
      <c r="L53" s="1">
        <v>84.3</v>
      </c>
      <c r="M53" s="1">
        <v>39.783730400000003</v>
      </c>
      <c r="N53" s="1">
        <v>-100.445882</v>
      </c>
    </row>
    <row r="54" spans="1:14">
      <c r="A54" s="1">
        <v>53</v>
      </c>
      <c r="B54" s="1" t="s">
        <v>76</v>
      </c>
      <c r="C54" s="1" t="s">
        <v>28</v>
      </c>
      <c r="D54" s="1">
        <v>3</v>
      </c>
      <c r="E54" s="1">
        <v>70</v>
      </c>
      <c r="F54" s="1">
        <v>65</v>
      </c>
      <c r="G54" s="1">
        <v>61</v>
      </c>
      <c r="H54" s="1">
        <v>59</v>
      </c>
      <c r="I54" s="1">
        <v>82</v>
      </c>
      <c r="J54" s="1">
        <v>83</v>
      </c>
      <c r="K54" s="1">
        <v>174</v>
      </c>
      <c r="L54" s="1">
        <v>84.2</v>
      </c>
      <c r="M54" s="1">
        <v>36.5748441</v>
      </c>
      <c r="N54" s="1">
        <v>139.23941790000001</v>
      </c>
    </row>
    <row r="55" spans="1:14">
      <c r="A55" s="1">
        <v>54</v>
      </c>
      <c r="B55" s="1" t="s">
        <v>77</v>
      </c>
      <c r="C55" s="1" t="s">
        <v>48</v>
      </c>
      <c r="D55" s="1">
        <v>2</v>
      </c>
      <c r="E55" s="1">
        <v>49</v>
      </c>
      <c r="F55" s="1">
        <v>815</v>
      </c>
      <c r="G55" s="1">
        <v>38</v>
      </c>
      <c r="H55" s="1">
        <v>103</v>
      </c>
      <c r="I55" s="1">
        <v>86</v>
      </c>
      <c r="J55" s="1">
        <v>98</v>
      </c>
      <c r="K55" s="1">
        <v>76</v>
      </c>
      <c r="L55" s="1">
        <v>84.1</v>
      </c>
      <c r="M55" s="1">
        <v>46.603354000000003</v>
      </c>
      <c r="N55" s="1">
        <v>1.8883335000000001</v>
      </c>
    </row>
    <row r="56" spans="1:14">
      <c r="A56" s="1">
        <v>55</v>
      </c>
      <c r="B56" s="1" t="s">
        <v>78</v>
      </c>
      <c r="C56" s="1" t="s">
        <v>46</v>
      </c>
      <c r="D56" s="1">
        <v>2</v>
      </c>
      <c r="E56" s="1">
        <v>35</v>
      </c>
      <c r="F56" s="1">
        <v>381</v>
      </c>
      <c r="G56" s="1">
        <v>31</v>
      </c>
      <c r="H56" s="1">
        <v>147</v>
      </c>
      <c r="I56" s="1">
        <v>130</v>
      </c>
      <c r="J56" s="1">
        <v>87</v>
      </c>
      <c r="K56" s="1">
        <v>72</v>
      </c>
      <c r="L56" s="1">
        <v>84</v>
      </c>
      <c r="M56" s="1">
        <v>46.798562400000002</v>
      </c>
      <c r="N56" s="1">
        <v>8.2319735999999999</v>
      </c>
    </row>
    <row r="57" spans="1:14">
      <c r="A57" s="1">
        <v>56</v>
      </c>
      <c r="B57" s="1" t="s">
        <v>79</v>
      </c>
      <c r="C57" s="1" t="s">
        <v>15</v>
      </c>
      <c r="D57" s="1">
        <v>35</v>
      </c>
      <c r="E57" s="1">
        <v>572</v>
      </c>
      <c r="F57" s="1">
        <v>112</v>
      </c>
      <c r="G57" s="1">
        <v>106</v>
      </c>
      <c r="H57" s="1">
        <v>113</v>
      </c>
      <c r="I57" s="1">
        <v>75</v>
      </c>
      <c r="J57" s="1">
        <v>52</v>
      </c>
      <c r="K57" s="1">
        <v>26</v>
      </c>
      <c r="L57" s="1">
        <v>84</v>
      </c>
      <c r="M57" s="1">
        <v>39.783730400000003</v>
      </c>
      <c r="N57" s="1">
        <v>-100.445882</v>
      </c>
    </row>
    <row r="58" spans="1:14">
      <c r="A58" s="1">
        <v>57</v>
      </c>
      <c r="B58" s="1" t="s">
        <v>80</v>
      </c>
      <c r="C58" s="1" t="s">
        <v>81</v>
      </c>
      <c r="D58" s="1">
        <v>1</v>
      </c>
      <c r="E58" s="1">
        <v>232</v>
      </c>
      <c r="F58" s="1">
        <v>408</v>
      </c>
      <c r="G58" s="1">
        <v>180</v>
      </c>
      <c r="H58" s="1">
        <v>35</v>
      </c>
      <c r="I58" s="1">
        <v>34</v>
      </c>
      <c r="J58" s="1">
        <v>54</v>
      </c>
      <c r="K58" s="1">
        <v>40</v>
      </c>
      <c r="L58" s="1">
        <v>83.9</v>
      </c>
      <c r="M58" s="1">
        <v>-24.776108600000001</v>
      </c>
      <c r="N58" s="1">
        <v>134.755</v>
      </c>
    </row>
    <row r="59" spans="1:14">
      <c r="A59" s="1">
        <v>58</v>
      </c>
      <c r="B59" s="1" t="s">
        <v>82</v>
      </c>
      <c r="C59" s="1" t="s">
        <v>15</v>
      </c>
      <c r="D59" s="1">
        <v>36</v>
      </c>
      <c r="E59" s="1">
        <v>95</v>
      </c>
      <c r="F59" s="1">
        <v>50</v>
      </c>
      <c r="G59" s="1">
        <v>50</v>
      </c>
      <c r="H59" s="1">
        <v>186</v>
      </c>
      <c r="I59" s="1">
        <v>125</v>
      </c>
      <c r="J59" s="1">
        <v>85</v>
      </c>
      <c r="K59" s="1">
        <v>80</v>
      </c>
      <c r="L59" s="1">
        <v>83.8</v>
      </c>
      <c r="M59" s="1">
        <v>39.783730400000003</v>
      </c>
      <c r="N59" s="1">
        <v>-100.445882</v>
      </c>
    </row>
    <row r="60" spans="1:14">
      <c r="A60" s="1">
        <v>59</v>
      </c>
      <c r="B60" s="1" t="s">
        <v>83</v>
      </c>
      <c r="C60" s="1" t="s">
        <v>15</v>
      </c>
      <c r="D60" s="1">
        <v>37</v>
      </c>
      <c r="E60" s="1">
        <v>264</v>
      </c>
      <c r="F60" s="1">
        <v>1001</v>
      </c>
      <c r="G60" s="1">
        <v>42</v>
      </c>
      <c r="H60" s="1">
        <v>133</v>
      </c>
      <c r="I60" s="1">
        <v>97</v>
      </c>
      <c r="J60" s="1">
        <v>64</v>
      </c>
      <c r="K60" s="1">
        <v>57</v>
      </c>
      <c r="L60" s="1">
        <v>83.8</v>
      </c>
      <c r="M60" s="1">
        <v>39.783730400000003</v>
      </c>
      <c r="N60" s="1">
        <v>-100.445882</v>
      </c>
    </row>
    <row r="61" spans="1:14">
      <c r="A61" s="1">
        <v>60</v>
      </c>
      <c r="B61" s="1" t="s">
        <v>84</v>
      </c>
      <c r="C61" s="1" t="s">
        <v>85</v>
      </c>
      <c r="D61" s="1">
        <v>1</v>
      </c>
      <c r="E61" s="1">
        <v>667</v>
      </c>
      <c r="F61" s="1">
        <v>20</v>
      </c>
      <c r="G61" s="1">
        <v>304</v>
      </c>
      <c r="H61" s="1">
        <v>19</v>
      </c>
      <c r="I61" s="1">
        <v>39</v>
      </c>
      <c r="J61" s="1">
        <v>146</v>
      </c>
      <c r="K61" s="1">
        <v>129</v>
      </c>
      <c r="L61" s="1">
        <v>83.7</v>
      </c>
      <c r="M61" s="1">
        <v>36.638392000000003</v>
      </c>
      <c r="N61" s="1">
        <v>127.69611879999999</v>
      </c>
    </row>
    <row r="62" spans="1:14">
      <c r="A62" s="1">
        <v>61</v>
      </c>
      <c r="B62" s="1" t="s">
        <v>86</v>
      </c>
      <c r="C62" s="1" t="s">
        <v>66</v>
      </c>
      <c r="D62" s="1">
        <v>2</v>
      </c>
      <c r="E62" s="1">
        <v>19</v>
      </c>
      <c r="F62" s="1">
        <v>400</v>
      </c>
      <c r="G62" s="1">
        <v>15</v>
      </c>
      <c r="H62" s="1">
        <v>177</v>
      </c>
      <c r="I62" s="1">
        <v>143</v>
      </c>
      <c r="J62" s="1">
        <v>122</v>
      </c>
      <c r="K62" s="1">
        <v>405</v>
      </c>
      <c r="L62" s="1">
        <v>83.6</v>
      </c>
      <c r="M62" s="1">
        <v>39.3181528</v>
      </c>
      <c r="N62" s="1">
        <v>-79.810901400000006</v>
      </c>
    </row>
    <row r="63" spans="1:14">
      <c r="A63" s="1">
        <v>62</v>
      </c>
      <c r="B63" s="1" t="s">
        <v>87</v>
      </c>
      <c r="C63" s="1" t="s">
        <v>15</v>
      </c>
      <c r="D63" s="1">
        <v>38</v>
      </c>
      <c r="E63" s="1">
        <v>472</v>
      </c>
      <c r="F63" s="1">
        <v>485</v>
      </c>
      <c r="G63" s="1">
        <v>113</v>
      </c>
      <c r="H63" s="1">
        <v>40</v>
      </c>
      <c r="I63" s="1">
        <v>44</v>
      </c>
      <c r="J63" s="1">
        <v>90</v>
      </c>
      <c r="K63" s="1">
        <v>43</v>
      </c>
      <c r="L63" s="1">
        <v>83.6</v>
      </c>
      <c r="M63" s="1">
        <v>39.783730400000003</v>
      </c>
      <c r="N63" s="1">
        <v>-100.445882</v>
      </c>
    </row>
    <row r="64" spans="1:14">
      <c r="A64" s="1">
        <v>63</v>
      </c>
      <c r="B64" s="1" t="s">
        <v>88</v>
      </c>
      <c r="C64" s="1" t="s">
        <v>15</v>
      </c>
      <c r="D64" s="1">
        <v>39</v>
      </c>
      <c r="E64" s="1">
        <v>96</v>
      </c>
      <c r="F64" s="1">
        <v>83</v>
      </c>
      <c r="G64" s="1">
        <v>58</v>
      </c>
      <c r="H64" s="1">
        <v>94</v>
      </c>
      <c r="I64" s="1">
        <v>93</v>
      </c>
      <c r="J64" s="1">
        <v>106</v>
      </c>
      <c r="K64" s="1">
        <v>129</v>
      </c>
      <c r="L64" s="1">
        <v>83.5</v>
      </c>
      <c r="M64" s="1">
        <v>39.783730400000003</v>
      </c>
      <c r="N64" s="1">
        <v>-100.445882</v>
      </c>
    </row>
    <row r="65" spans="1:14">
      <c r="A65" s="1">
        <v>64</v>
      </c>
      <c r="B65" s="1" t="s">
        <v>89</v>
      </c>
      <c r="C65" s="1" t="s">
        <v>15</v>
      </c>
      <c r="D65" s="1">
        <v>40</v>
      </c>
      <c r="E65" s="1">
        <v>148</v>
      </c>
      <c r="F65" s="1">
        <v>91</v>
      </c>
      <c r="G65" s="1">
        <v>140</v>
      </c>
      <c r="H65" s="1">
        <v>95</v>
      </c>
      <c r="I65" s="1">
        <v>63</v>
      </c>
      <c r="J65" s="1">
        <v>57</v>
      </c>
      <c r="K65" s="1">
        <v>45</v>
      </c>
      <c r="L65" s="1">
        <v>83.4</v>
      </c>
      <c r="M65" s="1">
        <v>39.783730400000003</v>
      </c>
      <c r="N65" s="1">
        <v>-100.445882</v>
      </c>
    </row>
    <row r="66" spans="1:14">
      <c r="A66" s="1">
        <v>65</v>
      </c>
      <c r="B66" s="1" t="s">
        <v>90</v>
      </c>
      <c r="C66" s="1" t="s">
        <v>19</v>
      </c>
      <c r="D66" s="1">
        <v>7</v>
      </c>
      <c r="E66" s="1">
        <v>186</v>
      </c>
      <c r="F66" s="1">
        <v>296</v>
      </c>
      <c r="G66" s="1">
        <v>48</v>
      </c>
      <c r="H66" s="1">
        <v>126</v>
      </c>
      <c r="I66" s="1">
        <v>100</v>
      </c>
      <c r="J66" s="1">
        <v>67</v>
      </c>
      <c r="K66" s="1">
        <v>85</v>
      </c>
      <c r="L66" s="1">
        <v>83.4</v>
      </c>
      <c r="M66" s="1">
        <v>54.702354499999998</v>
      </c>
      <c r="N66" s="1">
        <v>-3.2765753000000002</v>
      </c>
    </row>
    <row r="67" spans="1:14">
      <c r="A67" s="1">
        <v>66</v>
      </c>
      <c r="B67" s="1" t="s">
        <v>91</v>
      </c>
      <c r="C67" s="1" t="s">
        <v>15</v>
      </c>
      <c r="D67" s="1">
        <v>41</v>
      </c>
      <c r="E67" s="1">
        <v>33</v>
      </c>
      <c r="F67" s="1">
        <v>1001</v>
      </c>
      <c r="G67" s="1">
        <v>39</v>
      </c>
      <c r="H67" s="1">
        <v>244</v>
      </c>
      <c r="I67" s="1">
        <v>151</v>
      </c>
      <c r="J67" s="1">
        <v>34</v>
      </c>
      <c r="K67" s="1">
        <v>187</v>
      </c>
      <c r="L67" s="1">
        <v>83.3</v>
      </c>
      <c r="M67" s="1">
        <v>39.783730400000003</v>
      </c>
      <c r="N67" s="1">
        <v>-100.445882</v>
      </c>
    </row>
    <row r="68" spans="1:14">
      <c r="A68" s="1">
        <v>67</v>
      </c>
      <c r="B68" s="1" t="s">
        <v>92</v>
      </c>
      <c r="C68" s="1" t="s">
        <v>93</v>
      </c>
      <c r="D68" s="1">
        <v>1</v>
      </c>
      <c r="E68" s="1">
        <v>117</v>
      </c>
      <c r="F68" s="1">
        <v>486</v>
      </c>
      <c r="G68" s="1">
        <v>34</v>
      </c>
      <c r="H68" s="1">
        <v>61</v>
      </c>
      <c r="I68" s="1">
        <v>103</v>
      </c>
      <c r="J68" s="1">
        <v>195</v>
      </c>
      <c r="K68" s="1">
        <v>71</v>
      </c>
      <c r="L68" s="1">
        <v>83.2</v>
      </c>
      <c r="M68" s="1">
        <v>42.638426099999997</v>
      </c>
      <c r="N68" s="1">
        <v>12.674296999999999</v>
      </c>
    </row>
    <row r="69" spans="1:14">
      <c r="A69" s="1">
        <v>68</v>
      </c>
      <c r="B69" s="1" t="s">
        <v>94</v>
      </c>
      <c r="C69" s="1" t="s">
        <v>19</v>
      </c>
      <c r="D69" s="1">
        <v>8</v>
      </c>
      <c r="E69" s="1">
        <v>43</v>
      </c>
      <c r="F69" s="1">
        <v>341</v>
      </c>
      <c r="G69" s="1">
        <v>110</v>
      </c>
      <c r="H69" s="1">
        <v>88</v>
      </c>
      <c r="I69" s="1">
        <v>65</v>
      </c>
      <c r="J69" s="1">
        <v>79</v>
      </c>
      <c r="K69" s="1">
        <v>72</v>
      </c>
      <c r="L69" s="1">
        <v>83.2</v>
      </c>
      <c r="M69" s="1">
        <v>54.702354499999998</v>
      </c>
      <c r="N69" s="1">
        <v>-3.2765753000000002</v>
      </c>
    </row>
    <row r="70" spans="1:14">
      <c r="A70" s="1">
        <v>69</v>
      </c>
      <c r="B70" s="1" t="s">
        <v>95</v>
      </c>
      <c r="C70" s="1" t="s">
        <v>46</v>
      </c>
      <c r="D70" s="1">
        <v>3</v>
      </c>
      <c r="E70" s="1">
        <v>267</v>
      </c>
      <c r="F70" s="1">
        <v>771</v>
      </c>
      <c r="G70" s="1">
        <v>108</v>
      </c>
      <c r="H70" s="1">
        <v>80</v>
      </c>
      <c r="I70" s="1">
        <v>70</v>
      </c>
      <c r="J70" s="1">
        <v>49</v>
      </c>
      <c r="K70" s="1">
        <v>51</v>
      </c>
      <c r="L70" s="1">
        <v>83.1</v>
      </c>
      <c r="M70" s="1">
        <v>46.798562400000002</v>
      </c>
      <c r="N70" s="1">
        <v>8.2319735999999999</v>
      </c>
    </row>
    <row r="71" spans="1:14">
      <c r="A71" s="1">
        <v>70</v>
      </c>
      <c r="B71" s="1" t="s">
        <v>96</v>
      </c>
      <c r="C71" s="1" t="s">
        <v>15</v>
      </c>
      <c r="D71" s="1">
        <v>42</v>
      </c>
      <c r="E71" s="1">
        <v>149</v>
      </c>
      <c r="F71" s="1">
        <v>596</v>
      </c>
      <c r="G71" s="1">
        <v>25</v>
      </c>
      <c r="H71" s="1">
        <v>229</v>
      </c>
      <c r="I71" s="1">
        <v>146</v>
      </c>
      <c r="J71" s="1">
        <v>80</v>
      </c>
      <c r="K71" s="1">
        <v>63</v>
      </c>
      <c r="L71" s="1">
        <v>83</v>
      </c>
      <c r="M71" s="1">
        <v>39.783730400000003</v>
      </c>
      <c r="N71" s="1">
        <v>-100.445882</v>
      </c>
    </row>
    <row r="72" spans="1:14">
      <c r="A72" s="1">
        <v>71</v>
      </c>
      <c r="B72" s="1" t="s">
        <v>97</v>
      </c>
      <c r="C72" s="1" t="s">
        <v>81</v>
      </c>
      <c r="D72" s="1">
        <v>2</v>
      </c>
      <c r="E72" s="1">
        <v>231</v>
      </c>
      <c r="F72" s="1">
        <v>590</v>
      </c>
      <c r="G72" s="1">
        <v>208</v>
      </c>
      <c r="H72" s="1">
        <v>27</v>
      </c>
      <c r="I72" s="1">
        <v>33</v>
      </c>
      <c r="J72" s="1">
        <v>71</v>
      </c>
      <c r="K72" s="1">
        <v>46</v>
      </c>
      <c r="L72" s="1">
        <v>83</v>
      </c>
      <c r="M72" s="1">
        <v>-24.776108600000001</v>
      </c>
      <c r="N72" s="1">
        <v>134.755</v>
      </c>
    </row>
    <row r="73" spans="1:14">
      <c r="A73" s="1">
        <v>72</v>
      </c>
      <c r="B73" s="1" t="s">
        <v>98</v>
      </c>
      <c r="C73" s="1" t="s">
        <v>99</v>
      </c>
      <c r="D73" s="1">
        <v>1</v>
      </c>
      <c r="E73" s="1">
        <v>122</v>
      </c>
      <c r="F73" s="1">
        <v>352</v>
      </c>
      <c r="G73" s="1">
        <v>137</v>
      </c>
      <c r="H73" s="1">
        <v>58</v>
      </c>
      <c r="I73" s="1">
        <v>43</v>
      </c>
      <c r="J73" s="1">
        <v>56</v>
      </c>
      <c r="K73" s="1">
        <v>66</v>
      </c>
      <c r="L73" s="1">
        <v>82.9</v>
      </c>
      <c r="M73" s="1">
        <v>52.243497900000001</v>
      </c>
      <c r="N73" s="1">
        <v>5.6343227000000002</v>
      </c>
    </row>
    <row r="74" spans="1:14">
      <c r="A74" s="1">
        <v>73</v>
      </c>
      <c r="B74" s="1" t="s">
        <v>100</v>
      </c>
      <c r="C74" s="1" t="s">
        <v>15</v>
      </c>
      <c r="D74" s="1">
        <v>43</v>
      </c>
      <c r="E74" s="1">
        <v>187</v>
      </c>
      <c r="F74" s="1">
        <v>233</v>
      </c>
      <c r="G74" s="1">
        <v>304</v>
      </c>
      <c r="H74" s="1">
        <v>34</v>
      </c>
      <c r="I74" s="1">
        <v>25</v>
      </c>
      <c r="J74" s="1">
        <v>47</v>
      </c>
      <c r="K74" s="1">
        <v>18</v>
      </c>
      <c r="L74" s="1">
        <v>82.9</v>
      </c>
      <c r="M74" s="1">
        <v>39.783730400000003</v>
      </c>
      <c r="N74" s="1">
        <v>-100.445882</v>
      </c>
    </row>
    <row r="75" spans="1:14">
      <c r="A75" s="1">
        <v>74</v>
      </c>
      <c r="B75" s="1" t="s">
        <v>101</v>
      </c>
      <c r="C75" s="1" t="s">
        <v>81</v>
      </c>
      <c r="D75" s="1">
        <v>3</v>
      </c>
      <c r="E75" s="1">
        <v>310</v>
      </c>
      <c r="F75" s="1">
        <v>541</v>
      </c>
      <c r="G75" s="1">
        <v>181</v>
      </c>
      <c r="H75" s="1">
        <v>46</v>
      </c>
      <c r="I75" s="1">
        <v>51</v>
      </c>
      <c r="J75" s="1">
        <v>63</v>
      </c>
      <c r="K75" s="1">
        <v>53</v>
      </c>
      <c r="L75" s="1">
        <v>82.8</v>
      </c>
      <c r="M75" s="1">
        <v>-24.776108600000001</v>
      </c>
      <c r="N75" s="1">
        <v>134.755</v>
      </c>
    </row>
    <row r="76" spans="1:14">
      <c r="A76" s="1">
        <v>75</v>
      </c>
      <c r="B76" s="1" t="s">
        <v>102</v>
      </c>
      <c r="C76" s="1" t="s">
        <v>103</v>
      </c>
      <c r="D76" s="1">
        <v>1</v>
      </c>
      <c r="E76" s="1">
        <v>97</v>
      </c>
      <c r="F76" s="1">
        <v>633</v>
      </c>
      <c r="G76" s="1">
        <v>52</v>
      </c>
      <c r="H76" s="1">
        <v>99</v>
      </c>
      <c r="I76" s="1">
        <v>102</v>
      </c>
      <c r="J76" s="1">
        <v>112</v>
      </c>
      <c r="K76" s="1">
        <v>93</v>
      </c>
      <c r="L76" s="1">
        <v>82.8</v>
      </c>
      <c r="M76" s="1">
        <v>64.573153700000006</v>
      </c>
      <c r="N76" s="2" t="s">
        <v>104</v>
      </c>
    </row>
    <row r="77" spans="1:14">
      <c r="A77" s="1">
        <v>76</v>
      </c>
      <c r="B77" s="1" t="s">
        <v>105</v>
      </c>
      <c r="C77" s="1" t="s">
        <v>15</v>
      </c>
      <c r="D77" s="1">
        <v>44</v>
      </c>
      <c r="E77" s="1">
        <v>15</v>
      </c>
      <c r="F77" s="1">
        <v>1001</v>
      </c>
      <c r="G77" s="1">
        <v>14</v>
      </c>
      <c r="H77" s="1">
        <v>786</v>
      </c>
      <c r="I77" s="1">
        <v>434</v>
      </c>
      <c r="J77" s="1">
        <v>32</v>
      </c>
      <c r="K77" s="1">
        <v>275</v>
      </c>
      <c r="L77" s="1">
        <v>82.7</v>
      </c>
      <c r="M77" s="1">
        <v>39.783730400000003</v>
      </c>
      <c r="N77" s="1">
        <v>-100.445882</v>
      </c>
    </row>
    <row r="78" spans="1:14">
      <c r="A78" s="1">
        <v>77</v>
      </c>
      <c r="B78" s="1" t="s">
        <v>106</v>
      </c>
      <c r="C78" s="1" t="s">
        <v>107</v>
      </c>
      <c r="D78" s="1">
        <v>1</v>
      </c>
      <c r="E78" s="1">
        <v>583</v>
      </c>
      <c r="F78" s="1">
        <v>256</v>
      </c>
      <c r="G78" s="1">
        <v>109</v>
      </c>
      <c r="H78" s="1">
        <v>4</v>
      </c>
      <c r="I78" s="1">
        <v>60</v>
      </c>
      <c r="J78" s="1">
        <v>162</v>
      </c>
      <c r="K78" s="1">
        <v>139</v>
      </c>
      <c r="L78" s="1">
        <v>82.6</v>
      </c>
      <c r="M78" s="1">
        <v>-10.3333333</v>
      </c>
      <c r="N78" s="1">
        <v>-53.2</v>
      </c>
    </row>
    <row r="79" spans="1:14">
      <c r="A79" s="1">
        <v>78</v>
      </c>
      <c r="B79" s="1" t="s">
        <v>108</v>
      </c>
      <c r="C79" s="1" t="s">
        <v>15</v>
      </c>
      <c r="D79" s="1">
        <v>45</v>
      </c>
      <c r="E79" s="1">
        <v>625</v>
      </c>
      <c r="F79" s="1">
        <v>183</v>
      </c>
      <c r="G79" s="1">
        <v>57</v>
      </c>
      <c r="H79" s="1">
        <v>85</v>
      </c>
      <c r="I79" s="1">
        <v>95</v>
      </c>
      <c r="J79" s="1">
        <v>133</v>
      </c>
      <c r="K79" s="1">
        <v>101</v>
      </c>
      <c r="L79" s="1">
        <v>82.6</v>
      </c>
      <c r="M79" s="1">
        <v>39.783730400000003</v>
      </c>
      <c r="N79" s="1">
        <v>-100.445882</v>
      </c>
    </row>
    <row r="80" spans="1:14">
      <c r="A80" s="1">
        <v>79</v>
      </c>
      <c r="B80" s="1" t="s">
        <v>109</v>
      </c>
      <c r="C80" s="1" t="s">
        <v>15</v>
      </c>
      <c r="D80" s="1">
        <v>46</v>
      </c>
      <c r="E80" s="1">
        <v>271</v>
      </c>
      <c r="F80" s="1">
        <v>31</v>
      </c>
      <c r="G80" s="1">
        <v>168</v>
      </c>
      <c r="H80" s="1">
        <v>151</v>
      </c>
      <c r="I80" s="1">
        <v>116</v>
      </c>
      <c r="J80" s="1">
        <v>95</v>
      </c>
      <c r="K80" s="1">
        <v>85</v>
      </c>
      <c r="L80" s="1">
        <v>82.5</v>
      </c>
      <c r="M80" s="1">
        <v>39.783730400000003</v>
      </c>
      <c r="N80" s="1">
        <v>-100.445882</v>
      </c>
    </row>
    <row r="81" spans="1:14">
      <c r="A81" s="1">
        <v>80</v>
      </c>
      <c r="B81" s="1" t="s">
        <v>110</v>
      </c>
      <c r="C81" s="1" t="s">
        <v>15</v>
      </c>
      <c r="D81" s="1">
        <v>47</v>
      </c>
      <c r="E81" s="1">
        <v>667</v>
      </c>
      <c r="F81" s="1">
        <v>197</v>
      </c>
      <c r="G81" s="1">
        <v>164</v>
      </c>
      <c r="H81" s="1">
        <v>101</v>
      </c>
      <c r="I81" s="1">
        <v>66</v>
      </c>
      <c r="J81" s="1">
        <v>55</v>
      </c>
      <c r="K81" s="1">
        <v>63</v>
      </c>
      <c r="L81" s="1">
        <v>82.5</v>
      </c>
      <c r="M81" s="1">
        <v>39.783730400000003</v>
      </c>
      <c r="N81" s="1">
        <v>-100.445882</v>
      </c>
    </row>
    <row r="82" spans="1:14">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row>
    <row r="83" spans="1:14">
      <c r="A83" s="1">
        <v>82</v>
      </c>
      <c r="B83" s="1" t="s">
        <v>112</v>
      </c>
      <c r="C83" s="1" t="s">
        <v>81</v>
      </c>
      <c r="D83" s="1">
        <v>4</v>
      </c>
      <c r="E83" s="1">
        <v>188</v>
      </c>
      <c r="F83" s="1">
        <v>666</v>
      </c>
      <c r="G83" s="1">
        <v>37</v>
      </c>
      <c r="H83" s="1">
        <v>153</v>
      </c>
      <c r="I83" s="1">
        <v>136</v>
      </c>
      <c r="J83" s="1">
        <v>101</v>
      </c>
      <c r="K83" s="1">
        <v>121</v>
      </c>
      <c r="L83" s="1">
        <v>82.4</v>
      </c>
      <c r="M83" s="1">
        <v>-24.776108600000001</v>
      </c>
      <c r="N83" s="1">
        <v>134.755</v>
      </c>
    </row>
    <row r="84" spans="1:14">
      <c r="A84" s="1">
        <v>83</v>
      </c>
      <c r="B84" s="1" t="s">
        <v>113</v>
      </c>
      <c r="C84" s="1" t="s">
        <v>15</v>
      </c>
      <c r="D84" s="1">
        <v>48</v>
      </c>
      <c r="E84" s="1">
        <v>169</v>
      </c>
      <c r="F84" s="1">
        <v>187</v>
      </c>
      <c r="G84" s="1">
        <v>80</v>
      </c>
      <c r="H84" s="1">
        <v>125</v>
      </c>
      <c r="I84" s="1">
        <v>105</v>
      </c>
      <c r="J84" s="1">
        <v>68</v>
      </c>
      <c r="K84" s="1">
        <v>93</v>
      </c>
      <c r="L84" s="1">
        <v>82.3</v>
      </c>
      <c r="M84" s="1">
        <v>39.783730400000003</v>
      </c>
      <c r="N84" s="1">
        <v>-100.445882</v>
      </c>
    </row>
    <row r="85" spans="1:14">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row>
    <row r="86" spans="1:14">
      <c r="A86" s="1">
        <v>85</v>
      </c>
      <c r="B86" s="1" t="s">
        <v>115</v>
      </c>
      <c r="C86" s="1" t="s">
        <v>66</v>
      </c>
      <c r="D86" s="1">
        <v>3</v>
      </c>
      <c r="E86" s="1">
        <v>105</v>
      </c>
      <c r="F86" s="1">
        <v>143</v>
      </c>
      <c r="G86" s="1">
        <v>59</v>
      </c>
      <c r="H86" s="1">
        <v>108</v>
      </c>
      <c r="I86" s="1">
        <v>115</v>
      </c>
      <c r="J86" s="1">
        <v>129</v>
      </c>
      <c r="K86" s="1">
        <v>151</v>
      </c>
      <c r="L86" s="1">
        <v>82.2</v>
      </c>
      <c r="M86" s="1">
        <v>39.3181528</v>
      </c>
      <c r="N86" s="1">
        <v>-79.810901400000006</v>
      </c>
    </row>
    <row r="87" spans="1:14">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row>
    <row r="88" spans="1:14">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row>
    <row r="89" spans="1:14">
      <c r="A89" s="1">
        <v>88</v>
      </c>
      <c r="B89" s="1" t="s">
        <v>119</v>
      </c>
      <c r="C89" s="1" t="s">
        <v>59</v>
      </c>
      <c r="D89" s="1">
        <v>2</v>
      </c>
      <c r="E89" s="1">
        <v>589</v>
      </c>
      <c r="F89" s="1">
        <v>379</v>
      </c>
      <c r="G89" s="1">
        <v>114</v>
      </c>
      <c r="H89" s="1">
        <v>83</v>
      </c>
      <c r="I89" s="1">
        <v>79</v>
      </c>
      <c r="J89" s="1">
        <v>78</v>
      </c>
      <c r="K89" s="1">
        <v>121</v>
      </c>
      <c r="L89" s="1">
        <v>82.1</v>
      </c>
      <c r="M89" s="1">
        <v>55.670248999999998</v>
      </c>
      <c r="N89" s="1">
        <v>10.3333283</v>
      </c>
    </row>
    <row r="90" spans="1:14">
      <c r="A90" s="1">
        <v>89</v>
      </c>
      <c r="B90" s="1" t="s">
        <v>120</v>
      </c>
      <c r="C90" s="1" t="s">
        <v>15</v>
      </c>
      <c r="D90" s="1">
        <v>49</v>
      </c>
      <c r="E90" s="1">
        <v>667</v>
      </c>
      <c r="F90" s="1">
        <v>1001</v>
      </c>
      <c r="G90" s="1">
        <v>91</v>
      </c>
      <c r="H90" s="1">
        <v>158</v>
      </c>
      <c r="I90" s="1">
        <v>104</v>
      </c>
      <c r="J90" s="1">
        <v>70</v>
      </c>
      <c r="K90" s="1">
        <v>66</v>
      </c>
      <c r="L90" s="1">
        <v>82</v>
      </c>
      <c r="M90" s="1">
        <v>39.783730400000003</v>
      </c>
      <c r="N90" s="1">
        <v>-100.445882</v>
      </c>
    </row>
    <row r="91" spans="1:14">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row>
    <row r="92" spans="1:14">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row>
    <row r="93" spans="1:14">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row>
    <row r="94" spans="1:14">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row>
    <row r="95" spans="1:14">
      <c r="A95" s="1">
        <v>94</v>
      </c>
      <c r="B95" s="1" t="s">
        <v>127</v>
      </c>
      <c r="C95" s="1" t="s">
        <v>15</v>
      </c>
      <c r="D95" s="1">
        <v>51</v>
      </c>
      <c r="E95" s="1">
        <v>667</v>
      </c>
      <c r="F95" s="1">
        <v>1001</v>
      </c>
      <c r="G95" s="1">
        <v>141</v>
      </c>
      <c r="H95" s="1">
        <v>161</v>
      </c>
      <c r="I95" s="1">
        <v>118</v>
      </c>
      <c r="J95" s="1">
        <v>38</v>
      </c>
      <c r="K95" s="1">
        <v>53</v>
      </c>
      <c r="L95" s="1">
        <v>81.8</v>
      </c>
      <c r="M95" s="1">
        <v>39.783730400000003</v>
      </c>
      <c r="N95" s="1">
        <v>-100.445882</v>
      </c>
    </row>
    <row r="96" spans="1:14">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row>
    <row r="97" spans="1:14">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row>
    <row r="98" spans="1:14">
      <c r="A98" s="1">
        <v>1</v>
      </c>
      <c r="B98" s="1" t="s">
        <v>14</v>
      </c>
      <c r="C98" s="1" t="s">
        <v>15</v>
      </c>
      <c r="D98" s="1">
        <v>1</v>
      </c>
      <c r="E98" s="1">
        <v>2</v>
      </c>
      <c r="F98" s="1">
        <v>1</v>
      </c>
      <c r="G98" s="1">
        <v>1</v>
      </c>
      <c r="H98" s="1">
        <v>1</v>
      </c>
      <c r="I98" s="1">
        <v>1</v>
      </c>
      <c r="J98" s="1">
        <v>1</v>
      </c>
      <c r="K98" s="1">
        <v>1</v>
      </c>
      <c r="L98" s="1">
        <v>100</v>
      </c>
      <c r="M98" s="1">
        <v>39.783730400000003</v>
      </c>
      <c r="N98" s="1">
        <v>-100.445882</v>
      </c>
    </row>
    <row r="99" spans="1:14">
      <c r="A99" s="1">
        <v>2</v>
      </c>
      <c r="B99" s="1" t="s">
        <v>16</v>
      </c>
      <c r="C99" s="1" t="s">
        <v>15</v>
      </c>
      <c r="D99" s="1">
        <v>2</v>
      </c>
      <c r="E99" s="1">
        <v>10</v>
      </c>
      <c r="F99" s="1">
        <v>3</v>
      </c>
      <c r="G99" s="1">
        <v>2</v>
      </c>
      <c r="H99" s="1">
        <v>10</v>
      </c>
      <c r="I99" s="1">
        <v>4</v>
      </c>
      <c r="J99" s="1">
        <v>3</v>
      </c>
      <c r="K99" s="1">
        <v>2</v>
      </c>
      <c r="L99" s="1">
        <v>96.7</v>
      </c>
      <c r="M99" s="1">
        <v>39.783730400000003</v>
      </c>
      <c r="N99" s="1">
        <v>-100.445882</v>
      </c>
    </row>
    <row r="100" spans="1:14">
      <c r="A100" s="1">
        <v>3</v>
      </c>
      <c r="B100" s="1" t="s">
        <v>17</v>
      </c>
      <c r="C100" s="1" t="s">
        <v>15</v>
      </c>
      <c r="D100" s="1">
        <v>3</v>
      </c>
      <c r="E100" s="1">
        <v>3</v>
      </c>
      <c r="F100" s="1">
        <v>11</v>
      </c>
      <c r="G100" s="1">
        <v>3</v>
      </c>
      <c r="H100" s="1">
        <v>30</v>
      </c>
      <c r="I100" s="1">
        <v>15</v>
      </c>
      <c r="J100" s="1">
        <v>2</v>
      </c>
      <c r="K100" s="1">
        <v>6</v>
      </c>
      <c r="L100" s="1">
        <v>95.1</v>
      </c>
      <c r="M100" s="1">
        <v>39.783730400000003</v>
      </c>
      <c r="N100" s="1">
        <v>-100.445882</v>
      </c>
    </row>
    <row r="101" spans="1:14">
      <c r="A101" s="1">
        <v>4</v>
      </c>
      <c r="B101" s="1" t="s">
        <v>18</v>
      </c>
      <c r="C101" s="1" t="s">
        <v>19</v>
      </c>
      <c r="D101" s="1">
        <v>1</v>
      </c>
      <c r="E101" s="1">
        <v>5</v>
      </c>
      <c r="F101" s="1">
        <v>19</v>
      </c>
      <c r="G101" s="1">
        <v>6</v>
      </c>
      <c r="H101" s="1">
        <v>12</v>
      </c>
      <c r="I101" s="1">
        <v>8</v>
      </c>
      <c r="J101" s="1">
        <v>6</v>
      </c>
      <c r="K101" s="1">
        <v>19</v>
      </c>
      <c r="L101" s="1">
        <v>94</v>
      </c>
      <c r="M101" s="1">
        <v>54.702354499999998</v>
      </c>
      <c r="N101" s="1">
        <v>-3.2765753000000002</v>
      </c>
    </row>
    <row r="102" spans="1:14">
      <c r="A102" s="1">
        <v>5</v>
      </c>
      <c r="B102" s="1" t="s">
        <v>20</v>
      </c>
      <c r="C102" s="1" t="s">
        <v>19</v>
      </c>
      <c r="D102" s="1">
        <v>2</v>
      </c>
      <c r="E102" s="1">
        <v>9</v>
      </c>
      <c r="F102" s="1">
        <v>25</v>
      </c>
      <c r="G102" s="1">
        <v>10</v>
      </c>
      <c r="H102" s="1">
        <v>9</v>
      </c>
      <c r="I102" s="1">
        <v>5</v>
      </c>
      <c r="J102" s="1">
        <v>7</v>
      </c>
      <c r="K102" s="1">
        <v>4</v>
      </c>
      <c r="L102" s="1">
        <v>93.2</v>
      </c>
      <c r="M102" s="1">
        <v>54.702354499999998</v>
      </c>
      <c r="N102" s="1">
        <v>-3.2765753000000002</v>
      </c>
    </row>
    <row r="103" spans="1:14">
      <c r="A103" s="1">
        <v>6</v>
      </c>
      <c r="B103" s="1" t="s">
        <v>21</v>
      </c>
      <c r="C103" s="1" t="s">
        <v>15</v>
      </c>
      <c r="D103" s="1">
        <v>4</v>
      </c>
      <c r="E103" s="1">
        <v>7</v>
      </c>
      <c r="F103" s="1">
        <v>52</v>
      </c>
      <c r="G103" s="1">
        <v>5</v>
      </c>
      <c r="H103" s="1">
        <v>18</v>
      </c>
      <c r="I103" s="1">
        <v>12</v>
      </c>
      <c r="J103" s="1">
        <v>4</v>
      </c>
      <c r="K103" s="1">
        <v>8</v>
      </c>
      <c r="L103" s="1">
        <v>92.5</v>
      </c>
      <c r="M103" s="1">
        <v>39.783730400000003</v>
      </c>
      <c r="N103" s="1">
        <v>-100.445882</v>
      </c>
    </row>
    <row r="104" spans="1:14">
      <c r="A104" s="1">
        <v>7</v>
      </c>
      <c r="B104" s="1" t="s">
        <v>22</v>
      </c>
      <c r="C104" s="1" t="s">
        <v>15</v>
      </c>
      <c r="D104" s="1">
        <v>5</v>
      </c>
      <c r="E104" s="1">
        <v>4</v>
      </c>
      <c r="F104" s="1">
        <v>15</v>
      </c>
      <c r="G104" s="1">
        <v>4</v>
      </c>
      <c r="H104" s="1">
        <v>146</v>
      </c>
      <c r="I104" s="1">
        <v>99</v>
      </c>
      <c r="J104" s="1">
        <v>28</v>
      </c>
      <c r="K104" s="1">
        <v>27</v>
      </c>
      <c r="L104" s="1">
        <v>91.9</v>
      </c>
      <c r="M104" s="1">
        <v>39.783730400000003</v>
      </c>
      <c r="N104" s="1">
        <v>-100.445882</v>
      </c>
    </row>
    <row r="105" spans="1:14">
      <c r="A105" s="1">
        <v>8</v>
      </c>
      <c r="B105" s="1" t="s">
        <v>23</v>
      </c>
      <c r="C105" s="1" t="s">
        <v>15</v>
      </c>
      <c r="D105" s="1">
        <v>6</v>
      </c>
      <c r="E105" s="1">
        <v>16</v>
      </c>
      <c r="F105" s="1">
        <v>13</v>
      </c>
      <c r="G105" s="1">
        <v>8</v>
      </c>
      <c r="H105" s="1">
        <v>20</v>
      </c>
      <c r="I105" s="1">
        <v>14</v>
      </c>
      <c r="J105" s="1">
        <v>10</v>
      </c>
      <c r="K105" s="1">
        <v>10</v>
      </c>
      <c r="L105" s="1">
        <v>91.4</v>
      </c>
      <c r="M105" s="1">
        <v>39.783730400000003</v>
      </c>
      <c r="N105" s="1">
        <v>-100.445882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9677-B521-4652-9567-BD80C5C953C6}">
  <sheetPr>
    <tabColor rgb="FF00B050"/>
  </sheetPr>
  <dimension ref="A1:N97"/>
  <sheetViews>
    <sheetView workbookViewId="0">
      <selection activeCell="Q17" sqref="Q17"/>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1</v>
      </c>
      <c r="B2" s="1" t="s">
        <v>14</v>
      </c>
      <c r="C2" s="1" t="s">
        <v>15</v>
      </c>
      <c r="D2" s="1">
        <v>1</v>
      </c>
      <c r="E2" s="1">
        <v>2</v>
      </c>
      <c r="F2" s="1">
        <v>1</v>
      </c>
      <c r="G2" s="1">
        <v>1</v>
      </c>
      <c r="H2" s="1">
        <v>1</v>
      </c>
      <c r="I2" s="1">
        <v>1</v>
      </c>
      <c r="J2" s="1">
        <v>1</v>
      </c>
      <c r="K2" s="1">
        <v>1</v>
      </c>
      <c r="L2" s="1">
        <v>100</v>
      </c>
      <c r="M2" s="1">
        <v>39.783730400000003</v>
      </c>
      <c r="N2" s="1">
        <v>-100.445882</v>
      </c>
    </row>
    <row r="3" spans="1:14">
      <c r="A3" s="1">
        <v>2</v>
      </c>
      <c r="B3" s="1" t="s">
        <v>16</v>
      </c>
      <c r="C3" s="1" t="s">
        <v>15</v>
      </c>
      <c r="D3" s="1">
        <v>2</v>
      </c>
      <c r="E3" s="1">
        <v>10</v>
      </c>
      <c r="F3" s="1">
        <v>3</v>
      </c>
      <c r="G3" s="1">
        <v>2</v>
      </c>
      <c r="H3" s="1">
        <v>10</v>
      </c>
      <c r="I3" s="1">
        <v>4</v>
      </c>
      <c r="J3" s="1">
        <v>3</v>
      </c>
      <c r="K3" s="1">
        <v>2</v>
      </c>
      <c r="L3" s="1">
        <v>96.7</v>
      </c>
      <c r="M3" s="1">
        <v>39.783730400000003</v>
      </c>
      <c r="N3" s="1">
        <v>-100.445882</v>
      </c>
    </row>
    <row r="4" spans="1:14">
      <c r="A4" s="1">
        <v>3</v>
      </c>
      <c r="B4" s="1" t="s">
        <v>17</v>
      </c>
      <c r="C4" s="1" t="s">
        <v>15</v>
      </c>
      <c r="D4" s="1">
        <v>3</v>
      </c>
      <c r="E4" s="1">
        <v>3</v>
      </c>
      <c r="F4" s="1">
        <v>11</v>
      </c>
      <c r="G4" s="1">
        <v>3</v>
      </c>
      <c r="H4" s="1">
        <v>30</v>
      </c>
      <c r="I4" s="1">
        <v>15</v>
      </c>
      <c r="J4" s="1">
        <v>2</v>
      </c>
      <c r="K4" s="1">
        <v>6</v>
      </c>
      <c r="L4" s="1">
        <v>95.1</v>
      </c>
      <c r="M4" s="1">
        <v>39.783730400000003</v>
      </c>
      <c r="N4" s="1">
        <v>-100.445882</v>
      </c>
    </row>
    <row r="5" spans="1:14">
      <c r="A5" s="1">
        <v>4</v>
      </c>
      <c r="B5" s="1" t="s">
        <v>18</v>
      </c>
      <c r="C5" s="1" t="s">
        <v>19</v>
      </c>
      <c r="D5" s="1">
        <v>1</v>
      </c>
      <c r="E5" s="1">
        <v>5</v>
      </c>
      <c r="F5" s="1">
        <v>19</v>
      </c>
      <c r="G5" s="1">
        <v>6</v>
      </c>
      <c r="H5" s="1">
        <v>12</v>
      </c>
      <c r="I5" s="1">
        <v>8</v>
      </c>
      <c r="J5" s="1">
        <v>6</v>
      </c>
      <c r="K5" s="1">
        <v>19</v>
      </c>
      <c r="L5" s="1">
        <v>94</v>
      </c>
      <c r="M5" s="1">
        <v>54.702354499999998</v>
      </c>
      <c r="N5" s="1">
        <v>-3.2765753000000002</v>
      </c>
    </row>
    <row r="6" spans="1:14">
      <c r="A6" s="1">
        <v>5</v>
      </c>
      <c r="B6" s="1" t="s">
        <v>20</v>
      </c>
      <c r="C6" s="1" t="s">
        <v>19</v>
      </c>
      <c r="D6" s="1">
        <v>2</v>
      </c>
      <c r="E6" s="1">
        <v>9</v>
      </c>
      <c r="F6" s="1">
        <v>25</v>
      </c>
      <c r="G6" s="1">
        <v>10</v>
      </c>
      <c r="H6" s="1">
        <v>9</v>
      </c>
      <c r="I6" s="1">
        <v>5</v>
      </c>
      <c r="J6" s="1">
        <v>7</v>
      </c>
      <c r="K6" s="1">
        <v>4</v>
      </c>
      <c r="L6" s="1">
        <v>93.2</v>
      </c>
      <c r="M6" s="1">
        <v>54.702354499999998</v>
      </c>
      <c r="N6" s="1">
        <v>-3.2765753000000002</v>
      </c>
    </row>
    <row r="7" spans="1:14">
      <c r="A7" s="1">
        <v>6</v>
      </c>
      <c r="B7" s="1" t="s">
        <v>21</v>
      </c>
      <c r="C7" s="1" t="s">
        <v>15</v>
      </c>
      <c r="D7" s="1">
        <v>4</v>
      </c>
      <c r="E7" s="1">
        <v>7</v>
      </c>
      <c r="F7" s="1">
        <v>52</v>
      </c>
      <c r="G7" s="1">
        <v>5</v>
      </c>
      <c r="H7" s="1">
        <v>18</v>
      </c>
      <c r="I7" s="1">
        <v>12</v>
      </c>
      <c r="J7" s="1">
        <v>4</v>
      </c>
      <c r="K7" s="1">
        <v>8</v>
      </c>
      <c r="L7" s="1">
        <v>92.5</v>
      </c>
      <c r="M7" s="1">
        <v>39.783730400000003</v>
      </c>
      <c r="N7" s="1">
        <v>-100.445882</v>
      </c>
    </row>
    <row r="8" spans="1:14">
      <c r="A8" s="1">
        <v>7</v>
      </c>
      <c r="B8" s="1" t="s">
        <v>22</v>
      </c>
      <c r="C8" s="1" t="s">
        <v>15</v>
      </c>
      <c r="D8" s="1">
        <v>5</v>
      </c>
      <c r="E8" s="1">
        <v>4</v>
      </c>
      <c r="F8" s="1">
        <v>15</v>
      </c>
      <c r="G8" s="1">
        <v>4</v>
      </c>
      <c r="H8" s="1">
        <v>146</v>
      </c>
      <c r="I8" s="1">
        <v>99</v>
      </c>
      <c r="J8" s="1">
        <v>28</v>
      </c>
      <c r="K8" s="1">
        <v>27</v>
      </c>
      <c r="L8" s="1">
        <v>91.9</v>
      </c>
      <c r="M8" s="1">
        <v>39.783730400000003</v>
      </c>
      <c r="N8" s="1">
        <v>-100.445882</v>
      </c>
    </row>
    <row r="9" spans="1:14">
      <c r="A9" s="1">
        <v>8</v>
      </c>
      <c r="B9" s="1" t="s">
        <v>23</v>
      </c>
      <c r="C9" s="1" t="s">
        <v>15</v>
      </c>
      <c r="D9" s="1">
        <v>6</v>
      </c>
      <c r="E9" s="1">
        <v>16</v>
      </c>
      <c r="F9" s="1">
        <v>13</v>
      </c>
      <c r="G9" s="1">
        <v>8</v>
      </c>
      <c r="H9" s="1">
        <v>20</v>
      </c>
      <c r="I9" s="1">
        <v>14</v>
      </c>
      <c r="J9" s="1">
        <v>10</v>
      </c>
      <c r="K9" s="1">
        <v>10</v>
      </c>
      <c r="L9" s="1">
        <v>91.4</v>
      </c>
      <c r="M9" s="1">
        <v>39.783730400000003</v>
      </c>
      <c r="N9" s="1">
        <v>-100.445882</v>
      </c>
    </row>
    <row r="10" spans="1:14">
      <c r="A10" s="1">
        <v>9</v>
      </c>
      <c r="B10" s="1" t="s">
        <v>24</v>
      </c>
      <c r="C10" s="1" t="s">
        <v>15</v>
      </c>
      <c r="D10" s="1">
        <v>7</v>
      </c>
      <c r="E10" s="1">
        <v>1</v>
      </c>
      <c r="F10" s="1">
        <v>200</v>
      </c>
      <c r="G10" s="1">
        <v>7</v>
      </c>
      <c r="H10" s="1">
        <v>127</v>
      </c>
      <c r="I10" s="1">
        <v>81</v>
      </c>
      <c r="J10" s="1">
        <v>13</v>
      </c>
      <c r="K10" s="1">
        <v>31</v>
      </c>
      <c r="L10" s="1">
        <v>91</v>
      </c>
      <c r="M10" s="1">
        <v>39.783730400000003</v>
      </c>
      <c r="N10" s="1">
        <v>-100.445882</v>
      </c>
    </row>
    <row r="11" spans="1:14">
      <c r="A11" s="1">
        <v>10</v>
      </c>
      <c r="B11" s="1" t="s">
        <v>25</v>
      </c>
      <c r="C11" s="1" t="s">
        <v>15</v>
      </c>
      <c r="D11" s="1">
        <v>8</v>
      </c>
      <c r="E11" s="1">
        <v>13</v>
      </c>
      <c r="F11" s="1">
        <v>22</v>
      </c>
      <c r="G11" s="1">
        <v>9</v>
      </c>
      <c r="H11" s="1">
        <v>39</v>
      </c>
      <c r="I11" s="1">
        <v>22</v>
      </c>
      <c r="J11" s="1">
        <v>18</v>
      </c>
      <c r="K11" s="1">
        <v>10</v>
      </c>
      <c r="L11" s="1">
        <v>90.6</v>
      </c>
      <c r="M11" s="1">
        <v>39.783730400000003</v>
      </c>
      <c r="N11" s="1">
        <v>-100.445882</v>
      </c>
    </row>
    <row r="12" spans="1:14">
      <c r="A12" s="1">
        <v>11</v>
      </c>
      <c r="B12" s="1" t="s">
        <v>26</v>
      </c>
      <c r="C12" s="1" t="s">
        <v>15</v>
      </c>
      <c r="D12" s="1">
        <v>9</v>
      </c>
      <c r="E12" s="1">
        <v>11</v>
      </c>
      <c r="F12" s="1">
        <v>34</v>
      </c>
      <c r="G12" s="1">
        <v>12</v>
      </c>
      <c r="H12" s="1">
        <v>37</v>
      </c>
      <c r="I12" s="1">
        <v>19</v>
      </c>
      <c r="J12" s="1">
        <v>11</v>
      </c>
      <c r="K12" s="1">
        <v>31</v>
      </c>
      <c r="L12" s="1">
        <v>90.3</v>
      </c>
      <c r="M12" s="1">
        <v>39.783730400000003</v>
      </c>
      <c r="N12" s="1">
        <v>-100.445882</v>
      </c>
    </row>
    <row r="13" spans="1:14">
      <c r="A13" s="1">
        <v>12</v>
      </c>
      <c r="B13" s="1" t="s">
        <v>27</v>
      </c>
      <c r="C13" s="1" t="s">
        <v>28</v>
      </c>
      <c r="D13" s="1">
        <v>1</v>
      </c>
      <c r="E13" s="1">
        <v>17</v>
      </c>
      <c r="F13" s="1">
        <v>8</v>
      </c>
      <c r="G13" s="1">
        <v>33</v>
      </c>
      <c r="H13" s="1">
        <v>7</v>
      </c>
      <c r="I13" s="1">
        <v>17</v>
      </c>
      <c r="J13" s="1">
        <v>23</v>
      </c>
      <c r="K13" s="1">
        <v>29</v>
      </c>
      <c r="L13" s="1">
        <v>90</v>
      </c>
      <c r="M13" s="1">
        <v>36.5748441</v>
      </c>
      <c r="N13" s="1">
        <v>139.23941790000001</v>
      </c>
    </row>
    <row r="14" spans="1:14">
      <c r="A14" s="1">
        <v>13</v>
      </c>
      <c r="B14" s="1" t="s">
        <v>29</v>
      </c>
      <c r="C14" s="1" t="s">
        <v>15</v>
      </c>
      <c r="D14" s="1">
        <v>10</v>
      </c>
      <c r="E14" s="1">
        <v>31</v>
      </c>
      <c r="F14" s="1">
        <v>9</v>
      </c>
      <c r="G14" s="1">
        <v>30</v>
      </c>
      <c r="H14" s="1">
        <v>16</v>
      </c>
      <c r="I14" s="1">
        <v>11</v>
      </c>
      <c r="J14" s="1">
        <v>17</v>
      </c>
      <c r="K14" s="1">
        <v>13</v>
      </c>
      <c r="L14" s="1">
        <v>89.7</v>
      </c>
      <c r="M14" s="1">
        <v>39.783730400000003</v>
      </c>
      <c r="N14" s="1">
        <v>-100.445882</v>
      </c>
    </row>
    <row r="15" spans="1:14">
      <c r="A15" s="1">
        <v>14</v>
      </c>
      <c r="B15" s="1" t="s">
        <v>30</v>
      </c>
      <c r="C15" s="1" t="s">
        <v>15</v>
      </c>
      <c r="D15" s="1">
        <v>11</v>
      </c>
      <c r="E15" s="1">
        <v>14</v>
      </c>
      <c r="F15" s="1">
        <v>28</v>
      </c>
      <c r="G15" s="1">
        <v>19</v>
      </c>
      <c r="H15" s="1">
        <v>31</v>
      </c>
      <c r="I15" s="1">
        <v>24</v>
      </c>
      <c r="J15" s="1">
        <v>15</v>
      </c>
      <c r="K15" s="1">
        <v>40</v>
      </c>
      <c r="L15" s="1">
        <v>89.4</v>
      </c>
      <c r="M15" s="1">
        <v>39.783730400000003</v>
      </c>
      <c r="N15" s="1">
        <v>-100.445882</v>
      </c>
    </row>
    <row r="16" spans="1:14">
      <c r="A16" s="1">
        <v>15</v>
      </c>
      <c r="B16" s="1" t="s">
        <v>31</v>
      </c>
      <c r="C16" s="1" t="s">
        <v>15</v>
      </c>
      <c r="D16" s="1">
        <v>12</v>
      </c>
      <c r="E16" s="1">
        <v>58</v>
      </c>
      <c r="F16" s="1">
        <v>63</v>
      </c>
      <c r="G16" s="1">
        <v>11</v>
      </c>
      <c r="H16" s="1">
        <v>13</v>
      </c>
      <c r="I16" s="1">
        <v>10</v>
      </c>
      <c r="J16" s="1">
        <v>14</v>
      </c>
      <c r="K16" s="1">
        <v>5</v>
      </c>
      <c r="L16" s="1">
        <v>89.1</v>
      </c>
      <c r="M16" s="1">
        <v>39.783730400000003</v>
      </c>
      <c r="N16" s="1">
        <v>-100.445882</v>
      </c>
    </row>
    <row r="17" spans="1:14">
      <c r="A17" s="1">
        <v>16</v>
      </c>
      <c r="B17" s="1" t="s">
        <v>32</v>
      </c>
      <c r="C17" s="1" t="s">
        <v>15</v>
      </c>
      <c r="D17" s="1">
        <v>13</v>
      </c>
      <c r="E17" s="1">
        <v>24</v>
      </c>
      <c r="F17" s="1">
        <v>159</v>
      </c>
      <c r="G17" s="1">
        <v>17</v>
      </c>
      <c r="H17" s="1">
        <v>8</v>
      </c>
      <c r="I17" s="1">
        <v>6</v>
      </c>
      <c r="J17" s="1">
        <v>12</v>
      </c>
      <c r="K17" s="1">
        <v>3</v>
      </c>
      <c r="L17" s="1">
        <v>88.9</v>
      </c>
      <c r="M17" s="1">
        <v>39.783730400000003</v>
      </c>
      <c r="N17" s="1">
        <v>-100.445882</v>
      </c>
    </row>
    <row r="18" spans="1:14">
      <c r="A18" s="1">
        <v>17</v>
      </c>
      <c r="B18" s="1" t="s">
        <v>33</v>
      </c>
      <c r="C18" s="1" t="s">
        <v>34</v>
      </c>
      <c r="D18" s="1">
        <v>1</v>
      </c>
      <c r="E18" s="1">
        <v>86</v>
      </c>
      <c r="F18" s="1">
        <v>157</v>
      </c>
      <c r="G18" s="1">
        <v>23</v>
      </c>
      <c r="H18" s="1">
        <v>2</v>
      </c>
      <c r="I18" s="1">
        <v>2</v>
      </c>
      <c r="J18" s="1">
        <v>16</v>
      </c>
      <c r="K18" s="1">
        <v>7</v>
      </c>
      <c r="L18" s="1">
        <v>88.7</v>
      </c>
      <c r="M18" s="1">
        <v>61.066692199999999</v>
      </c>
      <c r="N18" s="1">
        <v>-107.99170700000001</v>
      </c>
    </row>
    <row r="19" spans="1:14">
      <c r="A19" s="1">
        <v>18</v>
      </c>
      <c r="B19" s="1" t="s">
        <v>35</v>
      </c>
      <c r="C19" s="1" t="s">
        <v>15</v>
      </c>
      <c r="D19" s="1">
        <v>14</v>
      </c>
      <c r="E19" s="1">
        <v>47</v>
      </c>
      <c r="F19" s="1">
        <v>38</v>
      </c>
      <c r="G19" s="1">
        <v>68</v>
      </c>
      <c r="H19" s="1">
        <v>3</v>
      </c>
      <c r="I19" s="1">
        <v>3</v>
      </c>
      <c r="J19" s="1">
        <v>20</v>
      </c>
      <c r="K19" s="1">
        <v>10</v>
      </c>
      <c r="L19" s="1">
        <v>88.4</v>
      </c>
      <c r="M19" s="1">
        <v>39.783730400000003</v>
      </c>
      <c r="N19" s="1">
        <v>-100.445882</v>
      </c>
    </row>
    <row r="20" spans="1:14">
      <c r="A20" s="1">
        <v>19</v>
      </c>
      <c r="B20" s="1" t="s">
        <v>36</v>
      </c>
      <c r="C20" s="1" t="s">
        <v>15</v>
      </c>
      <c r="D20" s="1">
        <v>15</v>
      </c>
      <c r="E20" s="1">
        <v>75</v>
      </c>
      <c r="F20" s="1">
        <v>220</v>
      </c>
      <c r="G20" s="1">
        <v>26</v>
      </c>
      <c r="H20" s="1">
        <v>11</v>
      </c>
      <c r="I20" s="1">
        <v>9</v>
      </c>
      <c r="J20" s="1">
        <v>9</v>
      </c>
      <c r="K20" s="1">
        <v>9</v>
      </c>
      <c r="L20" s="1">
        <v>88.2</v>
      </c>
      <c r="M20" s="1">
        <v>39.783730400000003</v>
      </c>
      <c r="N20" s="1">
        <v>-100.445882</v>
      </c>
    </row>
    <row r="21" spans="1:14">
      <c r="A21" s="1">
        <v>20</v>
      </c>
      <c r="B21" s="1" t="s">
        <v>37</v>
      </c>
      <c r="C21" s="1" t="s">
        <v>15</v>
      </c>
      <c r="D21" s="1">
        <v>16</v>
      </c>
      <c r="E21" s="1">
        <v>37</v>
      </c>
      <c r="F21" s="1">
        <v>1001</v>
      </c>
      <c r="G21" s="1">
        <v>16</v>
      </c>
      <c r="H21" s="1">
        <v>28</v>
      </c>
      <c r="I21" s="1">
        <v>16</v>
      </c>
      <c r="J21" s="1">
        <v>5</v>
      </c>
      <c r="K21" s="1">
        <v>16</v>
      </c>
      <c r="L21" s="1">
        <v>88</v>
      </c>
      <c r="M21" s="1">
        <v>39.783730400000003</v>
      </c>
      <c r="N21" s="1">
        <v>-100.445882</v>
      </c>
    </row>
    <row r="22" spans="1:14">
      <c r="A22" s="1">
        <v>21</v>
      </c>
      <c r="B22" s="1" t="s">
        <v>38</v>
      </c>
      <c r="C22" s="1" t="s">
        <v>19</v>
      </c>
      <c r="D22" s="1">
        <v>3</v>
      </c>
      <c r="E22" s="1">
        <v>32</v>
      </c>
      <c r="F22" s="1">
        <v>739</v>
      </c>
      <c r="G22" s="1">
        <v>28</v>
      </c>
      <c r="H22" s="1">
        <v>5</v>
      </c>
      <c r="I22" s="1">
        <v>7</v>
      </c>
      <c r="J22" s="1">
        <v>19</v>
      </c>
      <c r="K22" s="1">
        <v>19</v>
      </c>
      <c r="L22" s="1">
        <v>87.8</v>
      </c>
      <c r="M22" s="1">
        <v>54.702354499999998</v>
      </c>
      <c r="N22" s="1">
        <v>-3.2765753000000002</v>
      </c>
    </row>
    <row r="23" spans="1:14">
      <c r="A23" s="1">
        <v>22</v>
      </c>
      <c r="B23" s="1" t="s">
        <v>39</v>
      </c>
      <c r="C23" s="1" t="s">
        <v>15</v>
      </c>
      <c r="D23" s="1">
        <v>17</v>
      </c>
      <c r="E23" s="1">
        <v>667</v>
      </c>
      <c r="F23" s="1">
        <v>1001</v>
      </c>
      <c r="G23" s="1">
        <v>13</v>
      </c>
      <c r="H23" s="1">
        <v>45</v>
      </c>
      <c r="I23" s="1">
        <v>23</v>
      </c>
      <c r="J23" s="1">
        <v>8</v>
      </c>
      <c r="K23" s="1">
        <v>17</v>
      </c>
      <c r="L23" s="1">
        <v>87.7</v>
      </c>
      <c r="M23" s="1">
        <v>39.783730400000003</v>
      </c>
      <c r="N23" s="1">
        <v>-100.445882</v>
      </c>
    </row>
    <row r="24" spans="1:14">
      <c r="A24" s="1">
        <v>23</v>
      </c>
      <c r="B24" s="1" t="s">
        <v>40</v>
      </c>
      <c r="C24" s="1" t="s">
        <v>15</v>
      </c>
      <c r="D24" s="1">
        <v>18</v>
      </c>
      <c r="E24" s="1">
        <v>129</v>
      </c>
      <c r="F24" s="1">
        <v>18</v>
      </c>
      <c r="G24" s="1">
        <v>44</v>
      </c>
      <c r="H24" s="1">
        <v>52</v>
      </c>
      <c r="I24" s="1">
        <v>28</v>
      </c>
      <c r="J24" s="1">
        <v>36</v>
      </c>
      <c r="K24" s="1">
        <v>34</v>
      </c>
      <c r="L24" s="1">
        <v>87.5</v>
      </c>
      <c r="M24" s="1">
        <v>39.783730400000003</v>
      </c>
      <c r="N24" s="1">
        <v>-100.445882</v>
      </c>
    </row>
    <row r="25" spans="1:14">
      <c r="A25" s="1">
        <v>24</v>
      </c>
      <c r="B25" s="1" t="s">
        <v>41</v>
      </c>
      <c r="C25" s="1" t="s">
        <v>15</v>
      </c>
      <c r="D25" s="1">
        <v>19</v>
      </c>
      <c r="E25" s="1">
        <v>98</v>
      </c>
      <c r="F25" s="1">
        <v>46</v>
      </c>
      <c r="G25" s="1">
        <v>47</v>
      </c>
      <c r="H25" s="1">
        <v>36</v>
      </c>
      <c r="I25" s="1">
        <v>20</v>
      </c>
      <c r="J25" s="1">
        <v>21</v>
      </c>
      <c r="K25" s="1">
        <v>14</v>
      </c>
      <c r="L25" s="1">
        <v>87.3</v>
      </c>
      <c r="M25" s="1">
        <v>39.783730400000003</v>
      </c>
      <c r="N25" s="1">
        <v>-100.445882</v>
      </c>
    </row>
    <row r="26" spans="1:14">
      <c r="A26" s="1">
        <v>25</v>
      </c>
      <c r="B26" s="1" t="s">
        <v>42</v>
      </c>
      <c r="C26" s="1" t="s">
        <v>15</v>
      </c>
      <c r="D26" s="1">
        <v>20</v>
      </c>
      <c r="E26" s="1">
        <v>64</v>
      </c>
      <c r="F26" s="1">
        <v>40</v>
      </c>
      <c r="G26" s="1">
        <v>18</v>
      </c>
      <c r="H26" s="1">
        <v>70</v>
      </c>
      <c r="I26" s="1">
        <v>50</v>
      </c>
      <c r="J26" s="1">
        <v>29</v>
      </c>
      <c r="K26" s="1">
        <v>35</v>
      </c>
      <c r="L26" s="1">
        <v>87.2</v>
      </c>
      <c r="M26" s="1">
        <v>39.783730400000003</v>
      </c>
      <c r="N26" s="1">
        <v>-100.445882</v>
      </c>
    </row>
    <row r="27" spans="1:14">
      <c r="A27" s="1">
        <v>26</v>
      </c>
      <c r="B27" s="1" t="s">
        <v>43</v>
      </c>
      <c r="C27" s="1" t="s">
        <v>28</v>
      </c>
      <c r="D27" s="1">
        <v>2</v>
      </c>
      <c r="E27" s="1">
        <v>25</v>
      </c>
      <c r="F27" s="1">
        <v>29</v>
      </c>
      <c r="G27" s="1">
        <v>24</v>
      </c>
      <c r="H27" s="1">
        <v>29</v>
      </c>
      <c r="I27" s="1">
        <v>45</v>
      </c>
      <c r="J27" s="1">
        <v>48</v>
      </c>
      <c r="K27" s="1">
        <v>101</v>
      </c>
      <c r="L27" s="1">
        <v>87</v>
      </c>
      <c r="M27" s="1">
        <v>36.5748441</v>
      </c>
      <c r="N27" s="1">
        <v>139.23941790000001</v>
      </c>
    </row>
    <row r="28" spans="1:14">
      <c r="A28" s="1">
        <v>27</v>
      </c>
      <c r="B28" s="1" t="s">
        <v>44</v>
      </c>
      <c r="C28" s="1" t="s">
        <v>15</v>
      </c>
      <c r="D28" s="1">
        <v>21</v>
      </c>
      <c r="E28" s="1">
        <v>65</v>
      </c>
      <c r="F28" s="1">
        <v>79</v>
      </c>
      <c r="G28" s="1">
        <v>32</v>
      </c>
      <c r="H28" s="1">
        <v>32</v>
      </c>
      <c r="I28" s="1">
        <v>26</v>
      </c>
      <c r="J28" s="1">
        <v>30</v>
      </c>
      <c r="K28" s="1">
        <v>15</v>
      </c>
      <c r="L28" s="1">
        <v>86.9</v>
      </c>
      <c r="M28" s="1">
        <v>39.783730400000003</v>
      </c>
      <c r="N28" s="1">
        <v>-100.445882</v>
      </c>
    </row>
    <row r="29" spans="1:14">
      <c r="A29" s="1">
        <v>28</v>
      </c>
      <c r="B29" s="1" t="s">
        <v>45</v>
      </c>
      <c r="C29" s="1" t="s">
        <v>46</v>
      </c>
      <c r="D29" s="1">
        <v>1</v>
      </c>
      <c r="E29" s="1">
        <v>29</v>
      </c>
      <c r="F29" s="1">
        <v>98</v>
      </c>
      <c r="G29" s="1">
        <v>20</v>
      </c>
      <c r="H29" s="1">
        <v>57</v>
      </c>
      <c r="I29" s="1">
        <v>42</v>
      </c>
      <c r="J29" s="1">
        <v>27</v>
      </c>
      <c r="K29" s="1">
        <v>59</v>
      </c>
      <c r="L29" s="1">
        <v>86.7</v>
      </c>
      <c r="M29" s="1">
        <v>46.798562400000002</v>
      </c>
      <c r="N29" s="1">
        <v>8.2319735999999999</v>
      </c>
    </row>
    <row r="30" spans="1:14">
      <c r="A30" s="1">
        <v>29</v>
      </c>
      <c r="B30" s="1" t="s">
        <v>47</v>
      </c>
      <c r="C30" s="1" t="s">
        <v>48</v>
      </c>
      <c r="D30" s="1">
        <v>1</v>
      </c>
      <c r="E30" s="1">
        <v>46</v>
      </c>
      <c r="F30" s="1">
        <v>344</v>
      </c>
      <c r="G30" s="1">
        <v>56</v>
      </c>
      <c r="H30" s="1">
        <v>6</v>
      </c>
      <c r="I30" s="1">
        <v>13</v>
      </c>
      <c r="J30" s="1">
        <v>24</v>
      </c>
      <c r="K30" s="1">
        <v>22</v>
      </c>
      <c r="L30" s="1">
        <v>86.6</v>
      </c>
      <c r="M30" s="1">
        <v>46.603354000000003</v>
      </c>
      <c r="N30" s="1">
        <v>1.8883335000000001</v>
      </c>
    </row>
    <row r="31" spans="1:14">
      <c r="A31" s="1">
        <v>30</v>
      </c>
      <c r="B31" s="1" t="s">
        <v>49</v>
      </c>
      <c r="C31" s="1" t="s">
        <v>19</v>
      </c>
      <c r="D31" s="1">
        <v>4</v>
      </c>
      <c r="E31" s="1">
        <v>93</v>
      </c>
      <c r="F31" s="1">
        <v>103</v>
      </c>
      <c r="G31" s="1">
        <v>43</v>
      </c>
      <c r="H31" s="1">
        <v>21</v>
      </c>
      <c r="I31" s="1">
        <v>18</v>
      </c>
      <c r="J31" s="1">
        <v>25</v>
      </c>
      <c r="K31" s="1">
        <v>29</v>
      </c>
      <c r="L31" s="1">
        <v>86.5</v>
      </c>
      <c r="M31" s="1">
        <v>54.702354499999998</v>
      </c>
      <c r="N31" s="1">
        <v>-3.2765753000000002</v>
      </c>
    </row>
    <row r="32" spans="1:14">
      <c r="A32" s="1">
        <v>31</v>
      </c>
      <c r="B32" s="1" t="s">
        <v>50</v>
      </c>
      <c r="C32" s="1" t="s">
        <v>15</v>
      </c>
      <c r="D32" s="1">
        <v>22</v>
      </c>
      <c r="E32" s="1">
        <v>108</v>
      </c>
      <c r="F32" s="1">
        <v>62</v>
      </c>
      <c r="G32" s="1">
        <v>29</v>
      </c>
      <c r="H32" s="1">
        <v>73</v>
      </c>
      <c r="I32" s="1">
        <v>58</v>
      </c>
      <c r="J32" s="1">
        <v>58</v>
      </c>
      <c r="K32" s="1">
        <v>24</v>
      </c>
      <c r="L32" s="1">
        <v>86.3</v>
      </c>
      <c r="M32" s="1">
        <v>39.783730400000003</v>
      </c>
      <c r="N32" s="1">
        <v>-100.445882</v>
      </c>
    </row>
    <row r="33" spans="1:14">
      <c r="A33" s="1">
        <v>32</v>
      </c>
      <c r="B33" s="1" t="s">
        <v>51</v>
      </c>
      <c r="C33" s="1" t="s">
        <v>15</v>
      </c>
      <c r="D33" s="1">
        <v>23</v>
      </c>
      <c r="E33" s="1">
        <v>40</v>
      </c>
      <c r="F33" s="1">
        <v>150</v>
      </c>
      <c r="G33" s="1">
        <v>27</v>
      </c>
      <c r="H33" s="1">
        <v>65</v>
      </c>
      <c r="I33" s="1">
        <v>55</v>
      </c>
      <c r="J33" s="1">
        <v>61</v>
      </c>
      <c r="K33" s="1">
        <v>50</v>
      </c>
      <c r="L33" s="1">
        <v>86.2</v>
      </c>
      <c r="M33" s="1">
        <v>39.783730400000003</v>
      </c>
      <c r="N33" s="1">
        <v>-100.445882</v>
      </c>
    </row>
    <row r="34" spans="1:14">
      <c r="A34" s="1">
        <v>33</v>
      </c>
      <c r="B34" s="1" t="s">
        <v>52</v>
      </c>
      <c r="C34" s="1" t="s">
        <v>15</v>
      </c>
      <c r="D34" s="1">
        <v>24</v>
      </c>
      <c r="E34" s="1">
        <v>205</v>
      </c>
      <c r="F34" s="1">
        <v>120</v>
      </c>
      <c r="G34" s="1">
        <v>72</v>
      </c>
      <c r="H34" s="1">
        <v>50</v>
      </c>
      <c r="I34" s="1">
        <v>30</v>
      </c>
      <c r="J34" s="1">
        <v>33</v>
      </c>
      <c r="K34" s="1">
        <v>21</v>
      </c>
      <c r="L34" s="1">
        <v>86.1</v>
      </c>
      <c r="M34" s="1">
        <v>39.783730400000003</v>
      </c>
      <c r="N34" s="1">
        <v>-100.445882</v>
      </c>
    </row>
    <row r="35" spans="1:14">
      <c r="A35" s="1">
        <v>34</v>
      </c>
      <c r="B35" s="1" t="s">
        <v>53</v>
      </c>
      <c r="C35" s="1" t="s">
        <v>19</v>
      </c>
      <c r="D35" s="1">
        <v>5</v>
      </c>
      <c r="E35" s="1">
        <v>61</v>
      </c>
      <c r="F35" s="1">
        <v>325</v>
      </c>
      <c r="G35" s="1">
        <v>36</v>
      </c>
      <c r="H35" s="1">
        <v>72</v>
      </c>
      <c r="I35" s="1">
        <v>56</v>
      </c>
      <c r="J35" s="1">
        <v>31</v>
      </c>
      <c r="K35" s="1">
        <v>48</v>
      </c>
      <c r="L35" s="1">
        <v>86</v>
      </c>
      <c r="M35" s="1">
        <v>54.702354499999998</v>
      </c>
      <c r="N35" s="1">
        <v>-3.2765753000000002</v>
      </c>
    </row>
    <row r="36" spans="1:14">
      <c r="A36" s="1">
        <v>35</v>
      </c>
      <c r="B36" s="1" t="s">
        <v>54</v>
      </c>
      <c r="C36" s="1" t="s">
        <v>15</v>
      </c>
      <c r="D36" s="1">
        <v>25</v>
      </c>
      <c r="E36" s="1">
        <v>131</v>
      </c>
      <c r="F36" s="1">
        <v>302</v>
      </c>
      <c r="G36" s="1">
        <v>76</v>
      </c>
      <c r="H36" s="1">
        <v>24</v>
      </c>
      <c r="I36" s="1">
        <v>21</v>
      </c>
      <c r="J36" s="1">
        <v>35</v>
      </c>
      <c r="K36" s="1">
        <v>28</v>
      </c>
      <c r="L36" s="1">
        <v>85.9</v>
      </c>
      <c r="M36" s="1">
        <v>39.783730400000003</v>
      </c>
      <c r="N36" s="1">
        <v>-100.445882</v>
      </c>
    </row>
    <row r="37" spans="1:14">
      <c r="A37" s="1">
        <v>36</v>
      </c>
      <c r="B37" s="1" t="s">
        <v>55</v>
      </c>
      <c r="C37" s="1" t="s">
        <v>15</v>
      </c>
      <c r="D37" s="1">
        <v>26</v>
      </c>
      <c r="E37" s="1">
        <v>206</v>
      </c>
      <c r="F37" s="1">
        <v>161</v>
      </c>
      <c r="G37" s="1">
        <v>64</v>
      </c>
      <c r="H37" s="1">
        <v>81</v>
      </c>
      <c r="I37" s="1">
        <v>46</v>
      </c>
      <c r="J37" s="1">
        <v>22</v>
      </c>
      <c r="K37" s="1">
        <v>22</v>
      </c>
      <c r="L37" s="1">
        <v>85.8</v>
      </c>
      <c r="M37" s="1">
        <v>39.783730400000003</v>
      </c>
      <c r="N37" s="1">
        <v>-100.445882</v>
      </c>
    </row>
    <row r="38" spans="1:14">
      <c r="A38" s="1">
        <v>37</v>
      </c>
      <c r="B38" s="1" t="s">
        <v>56</v>
      </c>
      <c r="C38" s="1" t="s">
        <v>34</v>
      </c>
      <c r="D38" s="1">
        <v>2</v>
      </c>
      <c r="E38" s="1">
        <v>68</v>
      </c>
      <c r="F38" s="1">
        <v>86</v>
      </c>
      <c r="G38" s="1">
        <v>65</v>
      </c>
      <c r="H38" s="1">
        <v>44</v>
      </c>
      <c r="I38" s="1">
        <v>36</v>
      </c>
      <c r="J38" s="1">
        <v>53</v>
      </c>
      <c r="K38" s="1">
        <v>39</v>
      </c>
      <c r="L38" s="1">
        <v>85.6</v>
      </c>
      <c r="M38" s="1">
        <v>61.066692199999999</v>
      </c>
      <c r="N38" s="1">
        <v>-107.99170700000001</v>
      </c>
    </row>
    <row r="39" spans="1:14">
      <c r="A39" s="1">
        <v>38</v>
      </c>
      <c r="B39" s="1" t="s">
        <v>57</v>
      </c>
      <c r="C39" s="1" t="s">
        <v>34</v>
      </c>
      <c r="D39" s="1">
        <v>3</v>
      </c>
      <c r="E39" s="1">
        <v>173</v>
      </c>
      <c r="F39" s="1">
        <v>699</v>
      </c>
      <c r="G39" s="1">
        <v>78</v>
      </c>
      <c r="H39" s="1">
        <v>25</v>
      </c>
      <c r="I39" s="1">
        <v>27</v>
      </c>
      <c r="J39" s="1">
        <v>37</v>
      </c>
      <c r="K39" s="1">
        <v>24</v>
      </c>
      <c r="L39" s="1">
        <v>85.5</v>
      </c>
      <c r="M39" s="1">
        <v>61.066692199999999</v>
      </c>
      <c r="N39" s="1">
        <v>-107.99170700000001</v>
      </c>
    </row>
    <row r="40" spans="1:14">
      <c r="A40" s="1">
        <v>39</v>
      </c>
      <c r="B40" s="1" t="s">
        <v>58</v>
      </c>
      <c r="C40" s="1" t="s">
        <v>59</v>
      </c>
      <c r="D40" s="1">
        <v>1</v>
      </c>
      <c r="E40" s="1">
        <v>302</v>
      </c>
      <c r="F40" s="1">
        <v>364</v>
      </c>
      <c r="G40" s="1">
        <v>79</v>
      </c>
      <c r="H40" s="1">
        <v>26</v>
      </c>
      <c r="I40" s="1">
        <v>29</v>
      </c>
      <c r="J40" s="1">
        <v>26</v>
      </c>
      <c r="K40" s="1">
        <v>38</v>
      </c>
      <c r="L40" s="1">
        <v>85.4</v>
      </c>
      <c r="M40" s="1">
        <v>55.670248999999998</v>
      </c>
      <c r="N40" s="1">
        <v>10.3333283</v>
      </c>
    </row>
    <row r="41" spans="1:14">
      <c r="A41" s="1">
        <v>40</v>
      </c>
      <c r="B41" s="1" t="s">
        <v>60</v>
      </c>
      <c r="C41" s="1" t="s">
        <v>15</v>
      </c>
      <c r="D41" s="1">
        <v>27</v>
      </c>
      <c r="E41" s="1">
        <v>165</v>
      </c>
      <c r="F41" s="1">
        <v>254</v>
      </c>
      <c r="G41" s="1">
        <v>70</v>
      </c>
      <c r="H41" s="1">
        <v>33</v>
      </c>
      <c r="I41" s="1">
        <v>31</v>
      </c>
      <c r="J41" s="1">
        <v>50</v>
      </c>
      <c r="K41" s="1">
        <v>35</v>
      </c>
      <c r="L41" s="1">
        <v>85.3</v>
      </c>
      <c r="M41" s="1">
        <v>39.783730400000003</v>
      </c>
      <c r="N41" s="1">
        <v>-100.445882</v>
      </c>
    </row>
    <row r="42" spans="1:14">
      <c r="A42" s="1">
        <v>41</v>
      </c>
      <c r="B42" s="1" t="s">
        <v>61</v>
      </c>
      <c r="C42" s="1" t="s">
        <v>15</v>
      </c>
      <c r="D42" s="1">
        <v>28</v>
      </c>
      <c r="E42" s="1">
        <v>212</v>
      </c>
      <c r="F42" s="1">
        <v>101</v>
      </c>
      <c r="G42" s="1">
        <v>35</v>
      </c>
      <c r="H42" s="1">
        <v>74</v>
      </c>
      <c r="I42" s="1">
        <v>67</v>
      </c>
      <c r="J42" s="1">
        <v>62</v>
      </c>
      <c r="K42" s="1">
        <v>59</v>
      </c>
      <c r="L42" s="1">
        <v>85.2</v>
      </c>
      <c r="M42" s="1">
        <v>39.783730400000003</v>
      </c>
      <c r="N42" s="1">
        <v>-100.445882</v>
      </c>
    </row>
    <row r="43" spans="1:14">
      <c r="A43" s="1">
        <v>42</v>
      </c>
      <c r="B43" s="1" t="s">
        <v>62</v>
      </c>
      <c r="C43" s="1" t="s">
        <v>15</v>
      </c>
      <c r="D43" s="1">
        <v>29</v>
      </c>
      <c r="E43" s="1">
        <v>83</v>
      </c>
      <c r="F43" s="1">
        <v>579</v>
      </c>
      <c r="G43" s="1">
        <v>75</v>
      </c>
      <c r="H43" s="1">
        <v>42</v>
      </c>
      <c r="I43" s="1">
        <v>35</v>
      </c>
      <c r="J43" s="1">
        <v>39</v>
      </c>
      <c r="K43" s="1">
        <v>31</v>
      </c>
      <c r="L43" s="1">
        <v>85.1</v>
      </c>
      <c r="M43" s="1">
        <v>39.783730400000003</v>
      </c>
      <c r="N43" s="1">
        <v>-100.445882</v>
      </c>
    </row>
    <row r="44" spans="1:14">
      <c r="A44" s="1">
        <v>43</v>
      </c>
      <c r="B44" s="1" t="s">
        <v>63</v>
      </c>
      <c r="C44" s="1" t="s">
        <v>15</v>
      </c>
      <c r="D44" s="1">
        <v>30</v>
      </c>
      <c r="E44" s="1">
        <v>374</v>
      </c>
      <c r="F44" s="1">
        <v>168</v>
      </c>
      <c r="G44" s="1">
        <v>60</v>
      </c>
      <c r="H44" s="1">
        <v>43</v>
      </c>
      <c r="I44" s="1">
        <v>40</v>
      </c>
      <c r="J44" s="1">
        <v>41</v>
      </c>
      <c r="K44" s="1">
        <v>51</v>
      </c>
      <c r="L44" s="1">
        <v>85</v>
      </c>
      <c r="M44" s="1">
        <v>39.783730400000003</v>
      </c>
      <c r="N44" s="1">
        <v>-100.445882</v>
      </c>
    </row>
    <row r="45" spans="1:14">
      <c r="A45" s="1">
        <v>44</v>
      </c>
      <c r="B45" s="1" t="s">
        <v>64</v>
      </c>
      <c r="C45" s="1" t="s">
        <v>19</v>
      </c>
      <c r="D45" s="1">
        <v>6</v>
      </c>
      <c r="E45" s="1">
        <v>171</v>
      </c>
      <c r="F45" s="1">
        <v>227</v>
      </c>
      <c r="G45" s="1">
        <v>63</v>
      </c>
      <c r="H45" s="1">
        <v>49</v>
      </c>
      <c r="I45" s="1">
        <v>48</v>
      </c>
      <c r="J45" s="1">
        <v>65</v>
      </c>
      <c r="K45" s="1">
        <v>35</v>
      </c>
      <c r="L45" s="1">
        <v>85</v>
      </c>
      <c r="M45" s="1">
        <v>54.702354499999998</v>
      </c>
      <c r="N45" s="1">
        <v>-3.2765753000000002</v>
      </c>
    </row>
    <row r="46" spans="1:14">
      <c r="A46" s="1">
        <v>45</v>
      </c>
      <c r="B46" s="1" t="s">
        <v>65</v>
      </c>
      <c r="C46" s="1" t="s">
        <v>66</v>
      </c>
      <c r="D46" s="1">
        <v>1</v>
      </c>
      <c r="E46" s="1">
        <v>8</v>
      </c>
      <c r="F46" s="1">
        <v>1001</v>
      </c>
      <c r="G46" s="1">
        <v>22</v>
      </c>
      <c r="H46" s="1">
        <v>445</v>
      </c>
      <c r="I46" s="1">
        <v>292</v>
      </c>
      <c r="J46" s="1">
        <v>69</v>
      </c>
      <c r="K46" s="1">
        <v>254</v>
      </c>
      <c r="L46" s="1">
        <v>84.9</v>
      </c>
      <c r="M46" s="1">
        <v>39.3181528</v>
      </c>
      <c r="N46" s="1">
        <v>-79.810901400000006</v>
      </c>
    </row>
    <row r="47" spans="1:14">
      <c r="A47" s="1">
        <v>46</v>
      </c>
      <c r="B47" s="1" t="s">
        <v>67</v>
      </c>
      <c r="C47" s="1" t="s">
        <v>68</v>
      </c>
      <c r="D47" s="1">
        <v>1</v>
      </c>
      <c r="E47" s="1">
        <v>71</v>
      </c>
      <c r="F47" s="1">
        <v>807</v>
      </c>
      <c r="G47" s="1">
        <v>51</v>
      </c>
      <c r="H47" s="1">
        <v>63</v>
      </c>
      <c r="I47" s="1">
        <v>64</v>
      </c>
      <c r="J47" s="1">
        <v>51</v>
      </c>
      <c r="K47" s="1">
        <v>53</v>
      </c>
      <c r="L47" s="1">
        <v>84.8</v>
      </c>
      <c r="M47" s="1">
        <v>40.420347900000003</v>
      </c>
      <c r="N47" s="1">
        <v>-79.116698299999996</v>
      </c>
    </row>
    <row r="48" spans="1:14">
      <c r="A48" s="1">
        <v>47</v>
      </c>
      <c r="B48" s="1" t="s">
        <v>69</v>
      </c>
      <c r="C48" s="1" t="s">
        <v>15</v>
      </c>
      <c r="D48" s="1">
        <v>31</v>
      </c>
      <c r="E48" s="1">
        <v>103</v>
      </c>
      <c r="F48" s="1">
        <v>480</v>
      </c>
      <c r="G48" s="1">
        <v>55</v>
      </c>
      <c r="H48" s="1">
        <v>92</v>
      </c>
      <c r="I48" s="1">
        <v>72</v>
      </c>
      <c r="J48" s="1">
        <v>45</v>
      </c>
      <c r="K48" s="1">
        <v>42</v>
      </c>
      <c r="L48" s="1">
        <v>84.7</v>
      </c>
      <c r="M48" s="1">
        <v>39.783730400000003</v>
      </c>
      <c r="N48" s="1">
        <v>-100.445882</v>
      </c>
    </row>
    <row r="49" spans="1:14">
      <c r="A49" s="1">
        <v>48</v>
      </c>
      <c r="B49" s="1" t="s">
        <v>70</v>
      </c>
      <c r="C49" s="1" t="s">
        <v>68</v>
      </c>
      <c r="D49" s="1">
        <v>2</v>
      </c>
      <c r="E49" s="1">
        <v>91</v>
      </c>
      <c r="F49" s="1">
        <v>266</v>
      </c>
      <c r="G49" s="1">
        <v>83</v>
      </c>
      <c r="H49" s="1">
        <v>53</v>
      </c>
      <c r="I49" s="1">
        <v>57</v>
      </c>
      <c r="J49" s="1">
        <v>42</v>
      </c>
      <c r="K49" s="1">
        <v>46</v>
      </c>
      <c r="L49" s="1">
        <v>84.6</v>
      </c>
      <c r="M49" s="1">
        <v>40.420347900000003</v>
      </c>
      <c r="N49" s="1">
        <v>-79.116698299999996</v>
      </c>
    </row>
    <row r="50" spans="1:14">
      <c r="A50" s="1">
        <v>49</v>
      </c>
      <c r="B50" s="1" t="s">
        <v>71</v>
      </c>
      <c r="C50" s="1" t="s">
        <v>72</v>
      </c>
      <c r="D50" s="1">
        <v>1</v>
      </c>
      <c r="E50" s="1">
        <v>162</v>
      </c>
      <c r="F50" s="1">
        <v>1001</v>
      </c>
      <c r="G50" s="1">
        <v>46</v>
      </c>
      <c r="H50" s="1">
        <v>67</v>
      </c>
      <c r="I50" s="1">
        <v>53</v>
      </c>
      <c r="J50" s="1">
        <v>46</v>
      </c>
      <c r="K50" s="1">
        <v>108</v>
      </c>
      <c r="L50" s="1">
        <v>84.5</v>
      </c>
      <c r="M50" s="1">
        <v>44.133434999999999</v>
      </c>
      <c r="N50" s="1">
        <v>-70.822677999999996</v>
      </c>
    </row>
    <row r="51" spans="1:14">
      <c r="A51" s="1">
        <v>50</v>
      </c>
      <c r="B51" s="1" t="s">
        <v>73</v>
      </c>
      <c r="C51" s="1" t="s">
        <v>15</v>
      </c>
      <c r="D51" s="1">
        <v>32</v>
      </c>
      <c r="E51" s="1">
        <v>134</v>
      </c>
      <c r="F51" s="1">
        <v>170</v>
      </c>
      <c r="G51" s="1">
        <v>41</v>
      </c>
      <c r="H51" s="1">
        <v>145</v>
      </c>
      <c r="I51" s="1">
        <v>111</v>
      </c>
      <c r="J51" s="1">
        <v>40</v>
      </c>
      <c r="K51" s="1">
        <v>59</v>
      </c>
      <c r="L51" s="1">
        <v>84.4</v>
      </c>
      <c r="M51" s="1">
        <v>39.783730400000003</v>
      </c>
      <c r="N51" s="1">
        <v>-100.445882</v>
      </c>
    </row>
    <row r="52" spans="1:14">
      <c r="A52" s="1">
        <v>51</v>
      </c>
      <c r="B52" s="1" t="s">
        <v>74</v>
      </c>
      <c r="C52" s="1" t="s">
        <v>15</v>
      </c>
      <c r="D52" s="1">
        <v>33</v>
      </c>
      <c r="E52" s="1">
        <v>215</v>
      </c>
      <c r="F52" s="1">
        <v>111</v>
      </c>
      <c r="G52" s="1">
        <v>40</v>
      </c>
      <c r="H52" s="1">
        <v>121</v>
      </c>
      <c r="I52" s="1">
        <v>88</v>
      </c>
      <c r="J52" s="1">
        <v>74</v>
      </c>
      <c r="K52" s="1">
        <v>66</v>
      </c>
      <c r="L52" s="1">
        <v>84.4</v>
      </c>
      <c r="M52" s="1">
        <v>39.783730400000003</v>
      </c>
      <c r="N52" s="1">
        <v>-100.445882</v>
      </c>
    </row>
    <row r="53" spans="1:14">
      <c r="A53" s="1">
        <v>52</v>
      </c>
      <c r="B53" s="1" t="s">
        <v>75</v>
      </c>
      <c r="C53" s="1" t="s">
        <v>15</v>
      </c>
      <c r="D53" s="1">
        <v>34</v>
      </c>
      <c r="E53" s="1">
        <v>166</v>
      </c>
      <c r="F53" s="1">
        <v>164</v>
      </c>
      <c r="G53" s="1">
        <v>53</v>
      </c>
      <c r="H53" s="1">
        <v>111</v>
      </c>
      <c r="I53" s="1">
        <v>96</v>
      </c>
      <c r="J53" s="1">
        <v>43</v>
      </c>
      <c r="K53" s="1">
        <v>48</v>
      </c>
      <c r="L53" s="1">
        <v>84.3</v>
      </c>
      <c r="M53" s="1">
        <v>39.783730400000003</v>
      </c>
      <c r="N53" s="1">
        <v>-100.445882</v>
      </c>
    </row>
    <row r="54" spans="1:14">
      <c r="A54" s="1">
        <v>53</v>
      </c>
      <c r="B54" s="1" t="s">
        <v>76</v>
      </c>
      <c r="C54" s="1" t="s">
        <v>28</v>
      </c>
      <c r="D54" s="1">
        <v>3</v>
      </c>
      <c r="E54" s="1">
        <v>70</v>
      </c>
      <c r="F54" s="1">
        <v>65</v>
      </c>
      <c r="G54" s="1">
        <v>61</v>
      </c>
      <c r="H54" s="1">
        <v>59</v>
      </c>
      <c r="I54" s="1">
        <v>82</v>
      </c>
      <c r="J54" s="1">
        <v>83</v>
      </c>
      <c r="K54" s="1">
        <v>174</v>
      </c>
      <c r="L54" s="1">
        <v>84.2</v>
      </c>
      <c r="M54" s="1">
        <v>36.5748441</v>
      </c>
      <c r="N54" s="1">
        <v>139.23941790000001</v>
      </c>
    </row>
    <row r="55" spans="1:14">
      <c r="A55" s="1">
        <v>54</v>
      </c>
      <c r="B55" s="1" t="s">
        <v>77</v>
      </c>
      <c r="C55" s="1" t="s">
        <v>48</v>
      </c>
      <c r="D55" s="1">
        <v>2</v>
      </c>
      <c r="E55" s="1">
        <v>49</v>
      </c>
      <c r="F55" s="1">
        <v>815</v>
      </c>
      <c r="G55" s="1">
        <v>38</v>
      </c>
      <c r="H55" s="1">
        <v>103</v>
      </c>
      <c r="I55" s="1">
        <v>86</v>
      </c>
      <c r="J55" s="1">
        <v>98</v>
      </c>
      <c r="K55" s="1">
        <v>76</v>
      </c>
      <c r="L55" s="1">
        <v>84.1</v>
      </c>
      <c r="M55" s="1">
        <v>46.603354000000003</v>
      </c>
      <c r="N55" s="1">
        <v>1.8883335000000001</v>
      </c>
    </row>
    <row r="56" spans="1:14">
      <c r="A56" s="1">
        <v>55</v>
      </c>
      <c r="B56" s="1" t="s">
        <v>78</v>
      </c>
      <c r="C56" s="1" t="s">
        <v>46</v>
      </c>
      <c r="D56" s="1">
        <v>2</v>
      </c>
      <c r="E56" s="1">
        <v>35</v>
      </c>
      <c r="F56" s="1">
        <v>381</v>
      </c>
      <c r="G56" s="1">
        <v>31</v>
      </c>
      <c r="H56" s="1">
        <v>147</v>
      </c>
      <c r="I56" s="1">
        <v>130</v>
      </c>
      <c r="J56" s="1">
        <v>87</v>
      </c>
      <c r="K56" s="1">
        <v>72</v>
      </c>
      <c r="L56" s="1">
        <v>84</v>
      </c>
      <c r="M56" s="1">
        <v>46.798562400000002</v>
      </c>
      <c r="N56" s="1">
        <v>8.2319735999999999</v>
      </c>
    </row>
    <row r="57" spans="1:14">
      <c r="A57" s="1">
        <v>56</v>
      </c>
      <c r="B57" s="1" t="s">
        <v>79</v>
      </c>
      <c r="C57" s="1" t="s">
        <v>15</v>
      </c>
      <c r="D57" s="1">
        <v>35</v>
      </c>
      <c r="E57" s="1">
        <v>572</v>
      </c>
      <c r="F57" s="1">
        <v>112</v>
      </c>
      <c r="G57" s="1">
        <v>106</v>
      </c>
      <c r="H57" s="1">
        <v>113</v>
      </c>
      <c r="I57" s="1">
        <v>75</v>
      </c>
      <c r="J57" s="1">
        <v>52</v>
      </c>
      <c r="K57" s="1">
        <v>26</v>
      </c>
      <c r="L57" s="1">
        <v>84</v>
      </c>
      <c r="M57" s="1">
        <v>39.783730400000003</v>
      </c>
      <c r="N57" s="1">
        <v>-100.445882</v>
      </c>
    </row>
    <row r="58" spans="1:14">
      <c r="A58" s="1">
        <v>57</v>
      </c>
      <c r="B58" s="1" t="s">
        <v>80</v>
      </c>
      <c r="C58" s="1" t="s">
        <v>81</v>
      </c>
      <c r="D58" s="1">
        <v>1</v>
      </c>
      <c r="E58" s="1">
        <v>232</v>
      </c>
      <c r="F58" s="1">
        <v>408</v>
      </c>
      <c r="G58" s="1">
        <v>180</v>
      </c>
      <c r="H58" s="1">
        <v>35</v>
      </c>
      <c r="I58" s="1">
        <v>34</v>
      </c>
      <c r="J58" s="1">
        <v>54</v>
      </c>
      <c r="K58" s="1">
        <v>40</v>
      </c>
      <c r="L58" s="1">
        <v>83.9</v>
      </c>
      <c r="M58" s="1">
        <v>-24.776108600000001</v>
      </c>
      <c r="N58" s="1">
        <v>134.755</v>
      </c>
    </row>
    <row r="59" spans="1:14">
      <c r="A59" s="1">
        <v>58</v>
      </c>
      <c r="B59" s="1" t="s">
        <v>82</v>
      </c>
      <c r="C59" s="1" t="s">
        <v>15</v>
      </c>
      <c r="D59" s="1">
        <v>36</v>
      </c>
      <c r="E59" s="1">
        <v>95</v>
      </c>
      <c r="F59" s="1">
        <v>50</v>
      </c>
      <c r="G59" s="1">
        <v>50</v>
      </c>
      <c r="H59" s="1">
        <v>186</v>
      </c>
      <c r="I59" s="1">
        <v>125</v>
      </c>
      <c r="J59" s="1">
        <v>85</v>
      </c>
      <c r="K59" s="1">
        <v>80</v>
      </c>
      <c r="L59" s="1">
        <v>83.8</v>
      </c>
      <c r="M59" s="1">
        <v>39.783730400000003</v>
      </c>
      <c r="N59" s="1">
        <v>-100.445882</v>
      </c>
    </row>
    <row r="60" spans="1:14">
      <c r="A60" s="1">
        <v>59</v>
      </c>
      <c r="B60" s="1" t="s">
        <v>83</v>
      </c>
      <c r="C60" s="1" t="s">
        <v>15</v>
      </c>
      <c r="D60" s="1">
        <v>37</v>
      </c>
      <c r="E60" s="1">
        <v>264</v>
      </c>
      <c r="F60" s="1">
        <v>1001</v>
      </c>
      <c r="G60" s="1">
        <v>42</v>
      </c>
      <c r="H60" s="1">
        <v>133</v>
      </c>
      <c r="I60" s="1">
        <v>97</v>
      </c>
      <c r="J60" s="1">
        <v>64</v>
      </c>
      <c r="K60" s="1">
        <v>57</v>
      </c>
      <c r="L60" s="1">
        <v>83.8</v>
      </c>
      <c r="M60" s="1">
        <v>39.783730400000003</v>
      </c>
      <c r="N60" s="1">
        <v>-100.445882</v>
      </c>
    </row>
    <row r="61" spans="1:14">
      <c r="A61" s="1">
        <v>60</v>
      </c>
      <c r="B61" s="1" t="s">
        <v>84</v>
      </c>
      <c r="C61" s="1" t="s">
        <v>85</v>
      </c>
      <c r="D61" s="1">
        <v>1</v>
      </c>
      <c r="E61" s="1">
        <v>667</v>
      </c>
      <c r="F61" s="1">
        <v>20</v>
      </c>
      <c r="G61" s="1">
        <v>304</v>
      </c>
      <c r="H61" s="1">
        <v>19</v>
      </c>
      <c r="I61" s="1">
        <v>39</v>
      </c>
      <c r="J61" s="1">
        <v>146</v>
      </c>
      <c r="K61" s="1">
        <v>129</v>
      </c>
      <c r="L61" s="1">
        <v>83.7</v>
      </c>
      <c r="M61" s="1">
        <v>36.638392000000003</v>
      </c>
      <c r="N61" s="1">
        <v>127.69611879999999</v>
      </c>
    </row>
    <row r="62" spans="1:14">
      <c r="A62" s="1">
        <v>61</v>
      </c>
      <c r="B62" s="1" t="s">
        <v>86</v>
      </c>
      <c r="C62" s="1" t="s">
        <v>66</v>
      </c>
      <c r="D62" s="1">
        <v>2</v>
      </c>
      <c r="E62" s="1">
        <v>19</v>
      </c>
      <c r="F62" s="1">
        <v>400</v>
      </c>
      <c r="G62" s="1">
        <v>15</v>
      </c>
      <c r="H62" s="1">
        <v>177</v>
      </c>
      <c r="I62" s="1">
        <v>143</v>
      </c>
      <c r="J62" s="1">
        <v>122</v>
      </c>
      <c r="K62" s="1">
        <v>405</v>
      </c>
      <c r="L62" s="1">
        <v>83.6</v>
      </c>
      <c r="M62" s="1">
        <v>39.3181528</v>
      </c>
      <c r="N62" s="1">
        <v>-79.810901400000006</v>
      </c>
    </row>
    <row r="63" spans="1:14">
      <c r="A63" s="1">
        <v>62</v>
      </c>
      <c r="B63" s="1" t="s">
        <v>87</v>
      </c>
      <c r="C63" s="1" t="s">
        <v>15</v>
      </c>
      <c r="D63" s="1">
        <v>38</v>
      </c>
      <c r="E63" s="1">
        <v>472</v>
      </c>
      <c r="F63" s="1">
        <v>485</v>
      </c>
      <c r="G63" s="1">
        <v>113</v>
      </c>
      <c r="H63" s="1">
        <v>40</v>
      </c>
      <c r="I63" s="1">
        <v>44</v>
      </c>
      <c r="J63" s="1">
        <v>90</v>
      </c>
      <c r="K63" s="1">
        <v>43</v>
      </c>
      <c r="L63" s="1">
        <v>83.6</v>
      </c>
      <c r="M63" s="1">
        <v>39.783730400000003</v>
      </c>
      <c r="N63" s="1">
        <v>-100.445882</v>
      </c>
    </row>
    <row r="64" spans="1:14">
      <c r="A64" s="1">
        <v>63</v>
      </c>
      <c r="B64" s="1" t="s">
        <v>88</v>
      </c>
      <c r="C64" s="1" t="s">
        <v>15</v>
      </c>
      <c r="D64" s="1">
        <v>39</v>
      </c>
      <c r="E64" s="1">
        <v>96</v>
      </c>
      <c r="F64" s="1">
        <v>83</v>
      </c>
      <c r="G64" s="1">
        <v>58</v>
      </c>
      <c r="H64" s="1">
        <v>94</v>
      </c>
      <c r="I64" s="1">
        <v>93</v>
      </c>
      <c r="J64" s="1">
        <v>106</v>
      </c>
      <c r="K64" s="1">
        <v>129</v>
      </c>
      <c r="L64" s="1">
        <v>83.5</v>
      </c>
      <c r="M64" s="1">
        <v>39.783730400000003</v>
      </c>
      <c r="N64" s="1">
        <v>-100.445882</v>
      </c>
    </row>
    <row r="65" spans="1:14">
      <c r="A65" s="1">
        <v>64</v>
      </c>
      <c r="B65" s="1" t="s">
        <v>89</v>
      </c>
      <c r="C65" s="1" t="s">
        <v>15</v>
      </c>
      <c r="D65" s="1">
        <v>40</v>
      </c>
      <c r="E65" s="1">
        <v>148</v>
      </c>
      <c r="F65" s="1">
        <v>91</v>
      </c>
      <c r="G65" s="1">
        <v>140</v>
      </c>
      <c r="H65" s="1">
        <v>95</v>
      </c>
      <c r="I65" s="1">
        <v>63</v>
      </c>
      <c r="J65" s="1">
        <v>57</v>
      </c>
      <c r="K65" s="1">
        <v>45</v>
      </c>
      <c r="L65" s="1">
        <v>83.4</v>
      </c>
      <c r="M65" s="1">
        <v>39.783730400000003</v>
      </c>
      <c r="N65" s="1">
        <v>-100.445882</v>
      </c>
    </row>
    <row r="66" spans="1:14">
      <c r="A66" s="1">
        <v>65</v>
      </c>
      <c r="B66" s="1" t="s">
        <v>90</v>
      </c>
      <c r="C66" s="1" t="s">
        <v>19</v>
      </c>
      <c r="D66" s="1">
        <v>7</v>
      </c>
      <c r="E66" s="1">
        <v>186</v>
      </c>
      <c r="F66" s="1">
        <v>296</v>
      </c>
      <c r="G66" s="1">
        <v>48</v>
      </c>
      <c r="H66" s="1">
        <v>126</v>
      </c>
      <c r="I66" s="1">
        <v>100</v>
      </c>
      <c r="J66" s="1">
        <v>67</v>
      </c>
      <c r="K66" s="1">
        <v>85</v>
      </c>
      <c r="L66" s="1">
        <v>83.4</v>
      </c>
      <c r="M66" s="1">
        <v>54.702354499999998</v>
      </c>
      <c r="N66" s="1">
        <v>-3.2765753000000002</v>
      </c>
    </row>
    <row r="67" spans="1:14">
      <c r="A67" s="1">
        <v>66</v>
      </c>
      <c r="B67" s="1" t="s">
        <v>91</v>
      </c>
      <c r="C67" s="1" t="s">
        <v>15</v>
      </c>
      <c r="D67" s="1">
        <v>41</v>
      </c>
      <c r="E67" s="1">
        <v>33</v>
      </c>
      <c r="F67" s="1">
        <v>1001</v>
      </c>
      <c r="G67" s="1">
        <v>39</v>
      </c>
      <c r="H67" s="1">
        <v>244</v>
      </c>
      <c r="I67" s="1">
        <v>151</v>
      </c>
      <c r="J67" s="1">
        <v>34</v>
      </c>
      <c r="K67" s="1">
        <v>187</v>
      </c>
      <c r="L67" s="1">
        <v>83.3</v>
      </c>
      <c r="M67" s="1">
        <v>39.783730400000003</v>
      </c>
      <c r="N67" s="1">
        <v>-100.445882</v>
      </c>
    </row>
    <row r="68" spans="1:14">
      <c r="A68" s="1">
        <v>67</v>
      </c>
      <c r="B68" s="1" t="s">
        <v>92</v>
      </c>
      <c r="C68" s="1" t="s">
        <v>93</v>
      </c>
      <c r="D68" s="1">
        <v>1</v>
      </c>
      <c r="E68" s="1">
        <v>117</v>
      </c>
      <c r="F68" s="1">
        <v>486</v>
      </c>
      <c r="G68" s="1">
        <v>34</v>
      </c>
      <c r="H68" s="1">
        <v>61</v>
      </c>
      <c r="I68" s="1">
        <v>103</v>
      </c>
      <c r="J68" s="1">
        <v>195</v>
      </c>
      <c r="K68" s="1">
        <v>71</v>
      </c>
      <c r="L68" s="1">
        <v>83.2</v>
      </c>
      <c r="M68" s="1">
        <v>42.638426099999997</v>
      </c>
      <c r="N68" s="1">
        <v>12.674296999999999</v>
      </c>
    </row>
    <row r="69" spans="1:14">
      <c r="A69" s="1">
        <v>68</v>
      </c>
      <c r="B69" s="1" t="s">
        <v>94</v>
      </c>
      <c r="C69" s="1" t="s">
        <v>19</v>
      </c>
      <c r="D69" s="1">
        <v>8</v>
      </c>
      <c r="E69" s="1">
        <v>43</v>
      </c>
      <c r="F69" s="1">
        <v>341</v>
      </c>
      <c r="G69" s="1">
        <v>110</v>
      </c>
      <c r="H69" s="1">
        <v>88</v>
      </c>
      <c r="I69" s="1">
        <v>65</v>
      </c>
      <c r="J69" s="1">
        <v>79</v>
      </c>
      <c r="K69" s="1">
        <v>72</v>
      </c>
      <c r="L69" s="1">
        <v>83.2</v>
      </c>
      <c r="M69" s="1">
        <v>54.702354499999998</v>
      </c>
      <c r="N69" s="1">
        <v>-3.2765753000000002</v>
      </c>
    </row>
    <row r="70" spans="1:14">
      <c r="A70" s="1">
        <v>69</v>
      </c>
      <c r="B70" s="1" t="s">
        <v>95</v>
      </c>
      <c r="C70" s="1" t="s">
        <v>46</v>
      </c>
      <c r="D70" s="1">
        <v>3</v>
      </c>
      <c r="E70" s="1">
        <v>267</v>
      </c>
      <c r="F70" s="1">
        <v>771</v>
      </c>
      <c r="G70" s="1">
        <v>108</v>
      </c>
      <c r="H70" s="1">
        <v>80</v>
      </c>
      <c r="I70" s="1">
        <v>70</v>
      </c>
      <c r="J70" s="1">
        <v>49</v>
      </c>
      <c r="K70" s="1">
        <v>51</v>
      </c>
      <c r="L70" s="1">
        <v>83.1</v>
      </c>
      <c r="M70" s="1">
        <v>46.798562400000002</v>
      </c>
      <c r="N70" s="1">
        <v>8.2319735999999999</v>
      </c>
    </row>
    <row r="71" spans="1:14">
      <c r="A71" s="1">
        <v>70</v>
      </c>
      <c r="B71" s="1" t="s">
        <v>96</v>
      </c>
      <c r="C71" s="1" t="s">
        <v>15</v>
      </c>
      <c r="D71" s="1">
        <v>42</v>
      </c>
      <c r="E71" s="1">
        <v>149</v>
      </c>
      <c r="F71" s="1">
        <v>596</v>
      </c>
      <c r="G71" s="1">
        <v>25</v>
      </c>
      <c r="H71" s="1">
        <v>229</v>
      </c>
      <c r="I71" s="1">
        <v>146</v>
      </c>
      <c r="J71" s="1">
        <v>80</v>
      </c>
      <c r="K71" s="1">
        <v>63</v>
      </c>
      <c r="L71" s="1">
        <v>83</v>
      </c>
      <c r="M71" s="1">
        <v>39.783730400000003</v>
      </c>
      <c r="N71" s="1">
        <v>-100.445882</v>
      </c>
    </row>
    <row r="72" spans="1:14">
      <c r="A72" s="1">
        <v>71</v>
      </c>
      <c r="B72" s="1" t="s">
        <v>97</v>
      </c>
      <c r="C72" s="1" t="s">
        <v>81</v>
      </c>
      <c r="D72" s="1">
        <v>2</v>
      </c>
      <c r="E72" s="1">
        <v>231</v>
      </c>
      <c r="F72" s="1">
        <v>590</v>
      </c>
      <c r="G72" s="1">
        <v>208</v>
      </c>
      <c r="H72" s="1">
        <v>27</v>
      </c>
      <c r="I72" s="1">
        <v>33</v>
      </c>
      <c r="J72" s="1">
        <v>71</v>
      </c>
      <c r="K72" s="1">
        <v>46</v>
      </c>
      <c r="L72" s="1">
        <v>83</v>
      </c>
      <c r="M72" s="1">
        <v>-24.776108600000001</v>
      </c>
      <c r="N72" s="1">
        <v>134.755</v>
      </c>
    </row>
    <row r="73" spans="1:14">
      <c r="A73" s="1">
        <v>72</v>
      </c>
      <c r="B73" s="1" t="s">
        <v>98</v>
      </c>
      <c r="C73" s="1" t="s">
        <v>99</v>
      </c>
      <c r="D73" s="1">
        <v>1</v>
      </c>
      <c r="E73" s="1">
        <v>122</v>
      </c>
      <c r="F73" s="1">
        <v>352</v>
      </c>
      <c r="G73" s="1">
        <v>137</v>
      </c>
      <c r="H73" s="1">
        <v>58</v>
      </c>
      <c r="I73" s="1">
        <v>43</v>
      </c>
      <c r="J73" s="1">
        <v>56</v>
      </c>
      <c r="K73" s="1">
        <v>66</v>
      </c>
      <c r="L73" s="1">
        <v>82.9</v>
      </c>
      <c r="M73" s="1">
        <v>52.243497900000001</v>
      </c>
      <c r="N73" s="1">
        <v>5.6343227000000002</v>
      </c>
    </row>
    <row r="74" spans="1:14">
      <c r="A74" s="1">
        <v>73</v>
      </c>
      <c r="B74" s="1" t="s">
        <v>100</v>
      </c>
      <c r="C74" s="1" t="s">
        <v>15</v>
      </c>
      <c r="D74" s="1">
        <v>43</v>
      </c>
      <c r="E74" s="1">
        <v>187</v>
      </c>
      <c r="F74" s="1">
        <v>233</v>
      </c>
      <c r="G74" s="1">
        <v>304</v>
      </c>
      <c r="H74" s="1">
        <v>34</v>
      </c>
      <c r="I74" s="1">
        <v>25</v>
      </c>
      <c r="J74" s="1">
        <v>47</v>
      </c>
      <c r="K74" s="1">
        <v>18</v>
      </c>
      <c r="L74" s="1">
        <v>82.9</v>
      </c>
      <c r="M74" s="1">
        <v>39.783730400000003</v>
      </c>
      <c r="N74" s="1">
        <v>-100.445882</v>
      </c>
    </row>
    <row r="75" spans="1:14">
      <c r="A75" s="1">
        <v>74</v>
      </c>
      <c r="B75" s="1" t="s">
        <v>101</v>
      </c>
      <c r="C75" s="1" t="s">
        <v>81</v>
      </c>
      <c r="D75" s="1">
        <v>3</v>
      </c>
      <c r="E75" s="1">
        <v>310</v>
      </c>
      <c r="F75" s="1">
        <v>541</v>
      </c>
      <c r="G75" s="1">
        <v>181</v>
      </c>
      <c r="H75" s="1">
        <v>46</v>
      </c>
      <c r="I75" s="1">
        <v>51</v>
      </c>
      <c r="J75" s="1">
        <v>63</v>
      </c>
      <c r="K75" s="1">
        <v>53</v>
      </c>
      <c r="L75" s="1">
        <v>82.8</v>
      </c>
      <c r="M75" s="1">
        <v>-24.776108600000001</v>
      </c>
      <c r="N75" s="1">
        <v>134.755</v>
      </c>
    </row>
    <row r="76" spans="1:14">
      <c r="A76" s="1">
        <v>75</v>
      </c>
      <c r="B76" s="1" t="s">
        <v>102</v>
      </c>
      <c r="C76" s="1" t="s">
        <v>103</v>
      </c>
      <c r="D76" s="1">
        <v>1</v>
      </c>
      <c r="E76" s="1">
        <v>97</v>
      </c>
      <c r="F76" s="1">
        <v>633</v>
      </c>
      <c r="G76" s="1">
        <v>52</v>
      </c>
      <c r="H76" s="1">
        <v>99</v>
      </c>
      <c r="I76" s="1">
        <v>102</v>
      </c>
      <c r="J76" s="1">
        <v>112</v>
      </c>
      <c r="K76" s="1">
        <v>93</v>
      </c>
      <c r="L76" s="1">
        <v>82.8</v>
      </c>
      <c r="M76" s="1">
        <v>64.573153700000006</v>
      </c>
      <c r="N76" s="2" t="s">
        <v>104</v>
      </c>
    </row>
    <row r="77" spans="1:14">
      <c r="A77" s="1">
        <v>76</v>
      </c>
      <c r="B77" s="1" t="s">
        <v>105</v>
      </c>
      <c r="C77" s="1" t="s">
        <v>15</v>
      </c>
      <c r="D77" s="1">
        <v>44</v>
      </c>
      <c r="E77" s="1">
        <v>15</v>
      </c>
      <c r="F77" s="1">
        <v>1001</v>
      </c>
      <c r="G77" s="1">
        <v>14</v>
      </c>
      <c r="H77" s="1">
        <v>786</v>
      </c>
      <c r="I77" s="1">
        <v>434</v>
      </c>
      <c r="J77" s="1">
        <v>32</v>
      </c>
      <c r="K77" s="1">
        <v>275</v>
      </c>
      <c r="L77" s="1">
        <v>82.7</v>
      </c>
      <c r="M77" s="1">
        <v>39.783730400000003</v>
      </c>
      <c r="N77" s="1">
        <v>-100.445882</v>
      </c>
    </row>
    <row r="78" spans="1:14">
      <c r="A78" s="1">
        <v>77</v>
      </c>
      <c r="B78" s="1" t="s">
        <v>106</v>
      </c>
      <c r="C78" s="1" t="s">
        <v>107</v>
      </c>
      <c r="D78" s="1">
        <v>1</v>
      </c>
      <c r="E78" s="1">
        <v>583</v>
      </c>
      <c r="F78" s="1">
        <v>256</v>
      </c>
      <c r="G78" s="1">
        <v>109</v>
      </c>
      <c r="H78" s="1">
        <v>4</v>
      </c>
      <c r="I78" s="1">
        <v>60</v>
      </c>
      <c r="J78" s="1">
        <v>162</v>
      </c>
      <c r="K78" s="1">
        <v>139</v>
      </c>
      <c r="L78" s="1">
        <v>82.6</v>
      </c>
      <c r="M78" s="1">
        <v>-10.3333333</v>
      </c>
      <c r="N78" s="1">
        <v>-53.2</v>
      </c>
    </row>
    <row r="79" spans="1:14">
      <c r="A79" s="1">
        <v>78</v>
      </c>
      <c r="B79" s="1" t="s">
        <v>108</v>
      </c>
      <c r="C79" s="1" t="s">
        <v>15</v>
      </c>
      <c r="D79" s="1">
        <v>45</v>
      </c>
      <c r="E79" s="1">
        <v>625</v>
      </c>
      <c r="F79" s="1">
        <v>183</v>
      </c>
      <c r="G79" s="1">
        <v>57</v>
      </c>
      <c r="H79" s="1">
        <v>85</v>
      </c>
      <c r="I79" s="1">
        <v>95</v>
      </c>
      <c r="J79" s="1">
        <v>133</v>
      </c>
      <c r="K79" s="1">
        <v>101</v>
      </c>
      <c r="L79" s="1">
        <v>82.6</v>
      </c>
      <c r="M79" s="1">
        <v>39.783730400000003</v>
      </c>
      <c r="N79" s="1">
        <v>-100.445882</v>
      </c>
    </row>
    <row r="80" spans="1:14">
      <c r="A80" s="1">
        <v>79</v>
      </c>
      <c r="B80" s="1" t="s">
        <v>109</v>
      </c>
      <c r="C80" s="1" t="s">
        <v>15</v>
      </c>
      <c r="D80" s="1">
        <v>46</v>
      </c>
      <c r="E80" s="1">
        <v>271</v>
      </c>
      <c r="F80" s="1">
        <v>31</v>
      </c>
      <c r="G80" s="1">
        <v>168</v>
      </c>
      <c r="H80" s="1">
        <v>151</v>
      </c>
      <c r="I80" s="1">
        <v>116</v>
      </c>
      <c r="J80" s="1">
        <v>95</v>
      </c>
      <c r="K80" s="1">
        <v>85</v>
      </c>
      <c r="L80" s="1">
        <v>82.5</v>
      </c>
      <c r="M80" s="1">
        <v>39.783730400000003</v>
      </c>
      <c r="N80" s="1">
        <v>-100.445882</v>
      </c>
    </row>
    <row r="81" spans="1:14">
      <c r="A81" s="1">
        <v>80</v>
      </c>
      <c r="B81" s="1" t="s">
        <v>110</v>
      </c>
      <c r="C81" s="1" t="s">
        <v>15</v>
      </c>
      <c r="D81" s="1">
        <v>47</v>
      </c>
      <c r="E81" s="1">
        <v>667</v>
      </c>
      <c r="F81" s="1">
        <v>197</v>
      </c>
      <c r="G81" s="1">
        <v>164</v>
      </c>
      <c r="H81" s="1">
        <v>101</v>
      </c>
      <c r="I81" s="1">
        <v>66</v>
      </c>
      <c r="J81" s="1">
        <v>55</v>
      </c>
      <c r="K81" s="1">
        <v>63</v>
      </c>
      <c r="L81" s="1">
        <v>82.5</v>
      </c>
      <c r="M81" s="1">
        <v>39.783730400000003</v>
      </c>
      <c r="N81" s="1">
        <v>-100.445882</v>
      </c>
    </row>
    <row r="82" spans="1:14">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row>
    <row r="83" spans="1:14">
      <c r="A83" s="1">
        <v>82</v>
      </c>
      <c r="B83" s="1" t="s">
        <v>112</v>
      </c>
      <c r="C83" s="1" t="s">
        <v>81</v>
      </c>
      <c r="D83" s="1">
        <v>4</v>
      </c>
      <c r="E83" s="1">
        <v>188</v>
      </c>
      <c r="F83" s="1">
        <v>666</v>
      </c>
      <c r="G83" s="1">
        <v>37</v>
      </c>
      <c r="H83" s="1">
        <v>153</v>
      </c>
      <c r="I83" s="1">
        <v>136</v>
      </c>
      <c r="J83" s="1">
        <v>101</v>
      </c>
      <c r="K83" s="1">
        <v>121</v>
      </c>
      <c r="L83" s="1">
        <v>82.4</v>
      </c>
      <c r="M83" s="1">
        <v>-24.776108600000001</v>
      </c>
      <c r="N83" s="1">
        <v>134.755</v>
      </c>
    </row>
    <row r="84" spans="1:14">
      <c r="A84" s="1">
        <v>83</v>
      </c>
      <c r="B84" s="1" t="s">
        <v>113</v>
      </c>
      <c r="C84" s="1" t="s">
        <v>15</v>
      </c>
      <c r="D84" s="1">
        <v>48</v>
      </c>
      <c r="E84" s="1">
        <v>169</v>
      </c>
      <c r="F84" s="1">
        <v>187</v>
      </c>
      <c r="G84" s="1">
        <v>80</v>
      </c>
      <c r="H84" s="1">
        <v>125</v>
      </c>
      <c r="I84" s="1">
        <v>105</v>
      </c>
      <c r="J84" s="1">
        <v>68</v>
      </c>
      <c r="K84" s="1">
        <v>93</v>
      </c>
      <c r="L84" s="1">
        <v>82.3</v>
      </c>
      <c r="M84" s="1">
        <v>39.783730400000003</v>
      </c>
      <c r="N84" s="1">
        <v>-100.445882</v>
      </c>
    </row>
    <row r="85" spans="1:14">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row>
    <row r="86" spans="1:14">
      <c r="A86" s="1">
        <v>85</v>
      </c>
      <c r="B86" s="1" t="s">
        <v>115</v>
      </c>
      <c r="C86" s="1" t="s">
        <v>66</v>
      </c>
      <c r="D86" s="1">
        <v>3</v>
      </c>
      <c r="E86" s="1">
        <v>105</v>
      </c>
      <c r="F86" s="1">
        <v>143</v>
      </c>
      <c r="G86" s="1">
        <v>59</v>
      </c>
      <c r="H86" s="1">
        <v>108</v>
      </c>
      <c r="I86" s="1">
        <v>115</v>
      </c>
      <c r="J86" s="1">
        <v>129</v>
      </c>
      <c r="K86" s="1">
        <v>151</v>
      </c>
      <c r="L86" s="1">
        <v>82.2</v>
      </c>
      <c r="M86" s="1">
        <v>39.3181528</v>
      </c>
      <c r="N86" s="1">
        <v>-79.810901400000006</v>
      </c>
    </row>
    <row r="87" spans="1:14">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row>
    <row r="88" spans="1:14">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row>
    <row r="89" spans="1:14">
      <c r="A89" s="1">
        <v>88</v>
      </c>
      <c r="B89" s="1" t="s">
        <v>119</v>
      </c>
      <c r="C89" s="1" t="s">
        <v>59</v>
      </c>
      <c r="D89" s="1">
        <v>2</v>
      </c>
      <c r="E89" s="1">
        <v>589</v>
      </c>
      <c r="F89" s="1">
        <v>379</v>
      </c>
      <c r="G89" s="1">
        <v>114</v>
      </c>
      <c r="H89" s="1">
        <v>83</v>
      </c>
      <c r="I89" s="1">
        <v>79</v>
      </c>
      <c r="J89" s="1">
        <v>78</v>
      </c>
      <c r="K89" s="1">
        <v>121</v>
      </c>
      <c r="L89" s="1">
        <v>82.1</v>
      </c>
      <c r="M89" s="1">
        <v>55.670248999999998</v>
      </c>
      <c r="N89" s="1">
        <v>10.3333283</v>
      </c>
    </row>
    <row r="90" spans="1:14">
      <c r="A90" s="1">
        <v>89</v>
      </c>
      <c r="B90" s="1" t="s">
        <v>120</v>
      </c>
      <c r="C90" s="1" t="s">
        <v>15</v>
      </c>
      <c r="D90" s="1">
        <v>49</v>
      </c>
      <c r="E90" s="1">
        <v>667</v>
      </c>
      <c r="F90" s="1">
        <v>1001</v>
      </c>
      <c r="G90" s="1">
        <v>91</v>
      </c>
      <c r="H90" s="1">
        <v>158</v>
      </c>
      <c r="I90" s="1">
        <v>104</v>
      </c>
      <c r="J90" s="1">
        <v>70</v>
      </c>
      <c r="K90" s="1">
        <v>66</v>
      </c>
      <c r="L90" s="1">
        <v>82</v>
      </c>
      <c r="M90" s="1">
        <v>39.783730400000003</v>
      </c>
      <c r="N90" s="1">
        <v>-100.445882</v>
      </c>
    </row>
    <row r="91" spans="1:14">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row>
    <row r="92" spans="1:14">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row>
    <row r="93" spans="1:14">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row>
    <row r="94" spans="1:14">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row>
    <row r="95" spans="1:14">
      <c r="A95" s="1">
        <v>94</v>
      </c>
      <c r="B95" s="1" t="s">
        <v>127</v>
      </c>
      <c r="C95" s="1" t="s">
        <v>15</v>
      </c>
      <c r="D95" s="1">
        <v>51</v>
      </c>
      <c r="E95" s="1">
        <v>667</v>
      </c>
      <c r="F95" s="1">
        <v>1001</v>
      </c>
      <c r="G95" s="1">
        <v>141</v>
      </c>
      <c r="H95" s="1">
        <v>161</v>
      </c>
      <c r="I95" s="1">
        <v>118</v>
      </c>
      <c r="J95" s="1">
        <v>38</v>
      </c>
      <c r="K95" s="1">
        <v>53</v>
      </c>
      <c r="L95" s="1">
        <v>81.8</v>
      </c>
      <c r="M95" s="1">
        <v>39.783730400000003</v>
      </c>
      <c r="N95" s="1">
        <v>-100.445882</v>
      </c>
    </row>
    <row r="96" spans="1:14">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row>
    <row r="97" spans="1:14">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02A40-EC61-4F5D-AD46-4841DFE0BB7A}">
  <sheetPr>
    <tabColor theme="6" tint="-0.499984740745262"/>
  </sheetPr>
  <dimension ref="A1:N97"/>
  <sheetViews>
    <sheetView workbookViewId="0">
      <selection sqref="A1:N97"/>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1">
        <v>1</v>
      </c>
      <c r="B2" s="1" t="s">
        <v>14</v>
      </c>
      <c r="C2" s="1" t="s">
        <v>15</v>
      </c>
      <c r="D2" s="1">
        <v>1</v>
      </c>
      <c r="E2" s="1">
        <v>2</v>
      </c>
      <c r="F2" s="1">
        <v>1</v>
      </c>
      <c r="G2" s="1">
        <v>1</v>
      </c>
      <c r="H2" s="1">
        <v>1</v>
      </c>
      <c r="I2" s="1">
        <v>1</v>
      </c>
      <c r="J2" s="1">
        <v>1</v>
      </c>
      <c r="K2" s="1">
        <v>1</v>
      </c>
      <c r="L2" s="1">
        <v>100</v>
      </c>
      <c r="M2" s="1">
        <v>39.783730400000003</v>
      </c>
      <c r="N2" s="1">
        <v>-100.445882</v>
      </c>
    </row>
    <row r="3" spans="1:14">
      <c r="A3" s="1">
        <v>2</v>
      </c>
      <c r="B3" s="1" t="s">
        <v>16</v>
      </c>
      <c r="C3" s="1" t="s">
        <v>15</v>
      </c>
      <c r="D3" s="1">
        <v>2</v>
      </c>
      <c r="E3" s="1">
        <v>10</v>
      </c>
      <c r="F3" s="1">
        <v>3</v>
      </c>
      <c r="G3" s="1">
        <v>2</v>
      </c>
      <c r="H3" s="1">
        <v>10</v>
      </c>
      <c r="I3" s="1">
        <v>4</v>
      </c>
      <c r="J3" s="1">
        <v>3</v>
      </c>
      <c r="K3" s="1">
        <v>2</v>
      </c>
      <c r="L3" s="1">
        <v>96.7</v>
      </c>
      <c r="M3" s="1">
        <v>39.783730400000003</v>
      </c>
      <c r="N3" s="1">
        <v>-100.445882</v>
      </c>
    </row>
    <row r="4" spans="1:14">
      <c r="A4" s="1">
        <v>3</v>
      </c>
      <c r="B4" s="1" t="s">
        <v>17</v>
      </c>
      <c r="C4" s="1" t="s">
        <v>15</v>
      </c>
      <c r="D4" s="1">
        <v>3</v>
      </c>
      <c r="E4" s="1">
        <v>3</v>
      </c>
      <c r="F4" s="1">
        <v>11</v>
      </c>
      <c r="G4" s="1">
        <v>3</v>
      </c>
      <c r="H4" s="1">
        <v>30</v>
      </c>
      <c r="I4" s="1">
        <v>15</v>
      </c>
      <c r="J4" s="1">
        <v>2</v>
      </c>
      <c r="K4" s="1">
        <v>6</v>
      </c>
      <c r="L4" s="1">
        <v>95.1</v>
      </c>
      <c r="M4" s="1">
        <v>39.783730400000003</v>
      </c>
      <c r="N4" s="1">
        <v>-100.445882</v>
      </c>
    </row>
    <row r="5" spans="1:14">
      <c r="A5" s="1">
        <v>4</v>
      </c>
      <c r="B5" s="1" t="s">
        <v>18</v>
      </c>
      <c r="C5" s="1" t="s">
        <v>19</v>
      </c>
      <c r="D5" s="1">
        <v>1</v>
      </c>
      <c r="E5" s="1">
        <v>5</v>
      </c>
      <c r="F5" s="1">
        <v>19</v>
      </c>
      <c r="G5" s="1">
        <v>6</v>
      </c>
      <c r="H5" s="1">
        <v>12</v>
      </c>
      <c r="I5" s="1">
        <v>8</v>
      </c>
      <c r="J5" s="1">
        <v>6</v>
      </c>
      <c r="K5" s="1">
        <v>19</v>
      </c>
      <c r="L5" s="1">
        <v>94</v>
      </c>
      <c r="M5" s="1">
        <v>54.702354499999998</v>
      </c>
      <c r="N5" s="1">
        <v>-3.2765753000000002</v>
      </c>
    </row>
    <row r="6" spans="1:14">
      <c r="A6" s="1">
        <v>5</v>
      </c>
      <c r="B6" s="1" t="s">
        <v>20</v>
      </c>
      <c r="C6" s="1" t="s">
        <v>19</v>
      </c>
      <c r="D6" s="1">
        <v>2</v>
      </c>
      <c r="E6" s="1">
        <v>9</v>
      </c>
      <c r="F6" s="1">
        <v>25</v>
      </c>
      <c r="G6" s="1">
        <v>10</v>
      </c>
      <c r="H6" s="1">
        <v>9</v>
      </c>
      <c r="I6" s="1">
        <v>5</v>
      </c>
      <c r="J6" s="1">
        <v>7</v>
      </c>
      <c r="K6" s="1">
        <v>4</v>
      </c>
      <c r="L6" s="1">
        <v>93.2</v>
      </c>
      <c r="M6" s="1">
        <v>54.702354499999998</v>
      </c>
      <c r="N6" s="1">
        <v>-3.2765753000000002</v>
      </c>
    </row>
    <row r="7" spans="1:14">
      <c r="A7" s="1">
        <v>6</v>
      </c>
      <c r="B7" s="1" t="s">
        <v>21</v>
      </c>
      <c r="C7" s="1" t="s">
        <v>15</v>
      </c>
      <c r="D7" s="1">
        <v>4</v>
      </c>
      <c r="E7" s="1">
        <v>7</v>
      </c>
      <c r="F7" s="1">
        <v>52</v>
      </c>
      <c r="G7" s="1">
        <v>5</v>
      </c>
      <c r="H7" s="1">
        <v>18</v>
      </c>
      <c r="I7" s="1">
        <v>12</v>
      </c>
      <c r="J7" s="1">
        <v>4</v>
      </c>
      <c r="K7" s="1">
        <v>8</v>
      </c>
      <c r="L7" s="1">
        <v>92.5</v>
      </c>
      <c r="M7" s="1">
        <v>39.783730400000003</v>
      </c>
      <c r="N7" s="1">
        <v>-100.445882</v>
      </c>
    </row>
    <row r="8" spans="1:14">
      <c r="A8" s="1">
        <v>7</v>
      </c>
      <c r="B8" s="1" t="s">
        <v>22</v>
      </c>
      <c r="C8" s="1" t="s">
        <v>15</v>
      </c>
      <c r="D8" s="1">
        <v>5</v>
      </c>
      <c r="E8" s="1">
        <v>4</v>
      </c>
      <c r="F8" s="1">
        <v>15</v>
      </c>
      <c r="G8" s="1">
        <v>4</v>
      </c>
      <c r="H8" s="1">
        <v>146</v>
      </c>
      <c r="I8" s="1">
        <v>99</v>
      </c>
      <c r="J8" s="1">
        <v>28</v>
      </c>
      <c r="K8" s="1">
        <v>27</v>
      </c>
      <c r="L8" s="1">
        <v>91.9</v>
      </c>
      <c r="M8" s="1">
        <v>39.783730400000003</v>
      </c>
      <c r="N8" s="1">
        <v>-100.445882</v>
      </c>
    </row>
    <row r="9" spans="1:14">
      <c r="A9" s="1">
        <v>8</v>
      </c>
      <c r="B9" s="1" t="s">
        <v>23</v>
      </c>
      <c r="C9" s="1" t="s">
        <v>15</v>
      </c>
      <c r="D9" s="1">
        <v>6</v>
      </c>
      <c r="E9" s="1">
        <v>16</v>
      </c>
      <c r="F9" s="1">
        <v>13</v>
      </c>
      <c r="G9" s="1">
        <v>8</v>
      </c>
      <c r="H9" s="1">
        <v>20</v>
      </c>
      <c r="I9" s="1">
        <v>14</v>
      </c>
      <c r="J9" s="1">
        <v>10</v>
      </c>
      <c r="K9" s="1">
        <v>10</v>
      </c>
      <c r="L9" s="1">
        <v>91.4</v>
      </c>
      <c r="M9" s="1">
        <v>39.783730400000003</v>
      </c>
      <c r="N9" s="1">
        <v>-100.445882</v>
      </c>
    </row>
    <row r="10" spans="1:14">
      <c r="A10" s="1">
        <v>9</v>
      </c>
      <c r="B10" s="1" t="s">
        <v>24</v>
      </c>
      <c r="C10" s="1" t="s">
        <v>15</v>
      </c>
      <c r="D10" s="1">
        <v>7</v>
      </c>
      <c r="E10" s="1">
        <v>1</v>
      </c>
      <c r="F10" s="1">
        <v>200</v>
      </c>
      <c r="G10" s="1">
        <v>7</v>
      </c>
      <c r="H10" s="1">
        <v>127</v>
      </c>
      <c r="I10" s="1">
        <v>81</v>
      </c>
      <c r="J10" s="1">
        <v>13</v>
      </c>
      <c r="K10" s="1">
        <v>31</v>
      </c>
      <c r="L10" s="1">
        <v>91</v>
      </c>
      <c r="M10" s="1">
        <v>39.783730400000003</v>
      </c>
      <c r="N10" s="1">
        <v>-100.445882</v>
      </c>
    </row>
    <row r="11" spans="1:14">
      <c r="A11" s="1">
        <v>10</v>
      </c>
      <c r="B11" s="1" t="s">
        <v>25</v>
      </c>
      <c r="C11" s="1" t="s">
        <v>15</v>
      </c>
      <c r="D11" s="1">
        <v>8</v>
      </c>
      <c r="E11" s="1">
        <v>13</v>
      </c>
      <c r="F11" s="1">
        <v>22</v>
      </c>
      <c r="G11" s="1">
        <v>9</v>
      </c>
      <c r="H11" s="1">
        <v>39</v>
      </c>
      <c r="I11" s="1">
        <v>22</v>
      </c>
      <c r="J11" s="1">
        <v>18</v>
      </c>
      <c r="K11" s="1">
        <v>10</v>
      </c>
      <c r="L11" s="1">
        <v>90.6</v>
      </c>
      <c r="M11" s="1">
        <v>39.783730400000003</v>
      </c>
      <c r="N11" s="1">
        <v>-100.445882</v>
      </c>
    </row>
    <row r="12" spans="1:14">
      <c r="A12" s="1">
        <v>11</v>
      </c>
      <c r="B12" s="1" t="s">
        <v>26</v>
      </c>
      <c r="C12" s="1" t="s">
        <v>15</v>
      </c>
      <c r="D12" s="1">
        <v>9</v>
      </c>
      <c r="E12" s="1">
        <v>11</v>
      </c>
      <c r="F12" s="1">
        <v>34</v>
      </c>
      <c r="G12" s="1">
        <v>12</v>
      </c>
      <c r="H12" s="1">
        <v>37</v>
      </c>
      <c r="I12" s="1">
        <v>19</v>
      </c>
      <c r="J12" s="1">
        <v>11</v>
      </c>
      <c r="K12" s="1">
        <v>31</v>
      </c>
      <c r="L12" s="1">
        <v>90.3</v>
      </c>
      <c r="M12" s="1">
        <v>39.783730400000003</v>
      </c>
      <c r="N12" s="1">
        <v>-100.445882</v>
      </c>
    </row>
    <row r="13" spans="1:14">
      <c r="A13" s="1">
        <v>12</v>
      </c>
      <c r="B13" s="1" t="s">
        <v>27</v>
      </c>
      <c r="C13" s="1" t="s">
        <v>28</v>
      </c>
      <c r="D13" s="1">
        <v>1</v>
      </c>
      <c r="E13" s="1">
        <v>17</v>
      </c>
      <c r="F13" s="1">
        <v>8</v>
      </c>
      <c r="G13" s="1">
        <v>33</v>
      </c>
      <c r="H13" s="1">
        <v>7</v>
      </c>
      <c r="I13" s="1">
        <v>17</v>
      </c>
      <c r="J13" s="1">
        <v>23</v>
      </c>
      <c r="K13" s="1">
        <v>29</v>
      </c>
      <c r="L13" s="1">
        <v>90</v>
      </c>
      <c r="M13" s="1">
        <v>36.5748441</v>
      </c>
      <c r="N13" s="1">
        <v>139.23941790000001</v>
      </c>
    </row>
    <row r="14" spans="1:14">
      <c r="A14" s="1">
        <v>13</v>
      </c>
      <c r="B14" s="1" t="s">
        <v>29</v>
      </c>
      <c r="C14" s="1" t="s">
        <v>15</v>
      </c>
      <c r="D14" s="1">
        <v>10</v>
      </c>
      <c r="E14" s="1">
        <v>31</v>
      </c>
      <c r="F14" s="1">
        <v>9</v>
      </c>
      <c r="G14" s="1">
        <v>30</v>
      </c>
      <c r="H14" s="1">
        <v>16</v>
      </c>
      <c r="I14" s="1">
        <v>11</v>
      </c>
      <c r="J14" s="1">
        <v>17</v>
      </c>
      <c r="K14" s="1">
        <v>13</v>
      </c>
      <c r="L14" s="1">
        <v>89.7</v>
      </c>
      <c r="M14" s="1">
        <v>39.783730400000003</v>
      </c>
      <c r="N14" s="1">
        <v>-100.445882</v>
      </c>
    </row>
    <row r="15" spans="1:14">
      <c r="A15" s="1">
        <v>14</v>
      </c>
      <c r="B15" s="1" t="s">
        <v>30</v>
      </c>
      <c r="C15" s="1" t="s">
        <v>15</v>
      </c>
      <c r="D15" s="1">
        <v>11</v>
      </c>
      <c r="E15" s="1">
        <v>14</v>
      </c>
      <c r="F15" s="1">
        <v>28</v>
      </c>
      <c r="G15" s="1">
        <v>19</v>
      </c>
      <c r="H15" s="1">
        <v>31</v>
      </c>
      <c r="I15" s="1">
        <v>24</v>
      </c>
      <c r="J15" s="1">
        <v>15</v>
      </c>
      <c r="K15" s="1">
        <v>40</v>
      </c>
      <c r="L15" s="1">
        <v>89.4</v>
      </c>
      <c r="M15" s="1">
        <v>39.783730400000003</v>
      </c>
      <c r="N15" s="1">
        <v>-100.445882</v>
      </c>
    </row>
    <row r="16" spans="1:14">
      <c r="A16" s="1">
        <v>15</v>
      </c>
      <c r="B16" s="1" t="s">
        <v>31</v>
      </c>
      <c r="C16" s="1" t="s">
        <v>15</v>
      </c>
      <c r="D16" s="1">
        <v>12</v>
      </c>
      <c r="E16" s="1">
        <v>58</v>
      </c>
      <c r="F16" s="1">
        <v>63</v>
      </c>
      <c r="G16" s="1">
        <v>11</v>
      </c>
      <c r="H16" s="1">
        <v>13</v>
      </c>
      <c r="I16" s="1">
        <v>10</v>
      </c>
      <c r="J16" s="1">
        <v>14</v>
      </c>
      <c r="K16" s="1">
        <v>5</v>
      </c>
      <c r="L16" s="1">
        <v>89.1</v>
      </c>
      <c r="M16" s="1">
        <v>39.783730400000003</v>
      </c>
      <c r="N16" s="1">
        <v>-100.445882</v>
      </c>
    </row>
    <row r="17" spans="1:14">
      <c r="A17" s="1">
        <v>16</v>
      </c>
      <c r="B17" s="1" t="s">
        <v>32</v>
      </c>
      <c r="C17" s="1" t="s">
        <v>15</v>
      </c>
      <c r="D17" s="1">
        <v>13</v>
      </c>
      <c r="E17" s="1">
        <v>24</v>
      </c>
      <c r="F17" s="1">
        <v>159</v>
      </c>
      <c r="G17" s="1">
        <v>17</v>
      </c>
      <c r="H17" s="1">
        <v>8</v>
      </c>
      <c r="I17" s="1">
        <v>6</v>
      </c>
      <c r="J17" s="1">
        <v>12</v>
      </c>
      <c r="K17" s="1">
        <v>3</v>
      </c>
      <c r="L17" s="1">
        <v>88.9</v>
      </c>
      <c r="M17" s="1">
        <v>39.783730400000003</v>
      </c>
      <c r="N17" s="1">
        <v>-100.445882</v>
      </c>
    </row>
    <row r="18" spans="1:14">
      <c r="A18" s="1">
        <v>17</v>
      </c>
      <c r="B18" s="1" t="s">
        <v>33</v>
      </c>
      <c r="C18" s="1" t="s">
        <v>34</v>
      </c>
      <c r="D18" s="1">
        <v>1</v>
      </c>
      <c r="E18" s="1">
        <v>86</v>
      </c>
      <c r="F18" s="1">
        <v>157</v>
      </c>
      <c r="G18" s="1">
        <v>23</v>
      </c>
      <c r="H18" s="1">
        <v>2</v>
      </c>
      <c r="I18" s="1">
        <v>2</v>
      </c>
      <c r="J18" s="1">
        <v>16</v>
      </c>
      <c r="K18" s="1">
        <v>7</v>
      </c>
      <c r="L18" s="1">
        <v>88.7</v>
      </c>
      <c r="M18" s="1">
        <v>61.066692199999999</v>
      </c>
      <c r="N18" s="1">
        <v>-107.99170700000001</v>
      </c>
    </row>
    <row r="19" spans="1:14">
      <c r="A19" s="1">
        <v>18</v>
      </c>
      <c r="B19" s="1" t="s">
        <v>35</v>
      </c>
      <c r="C19" s="1" t="s">
        <v>15</v>
      </c>
      <c r="D19" s="1">
        <v>14</v>
      </c>
      <c r="E19" s="1">
        <v>47</v>
      </c>
      <c r="F19" s="1">
        <v>38</v>
      </c>
      <c r="G19" s="1">
        <v>68</v>
      </c>
      <c r="H19" s="1">
        <v>3</v>
      </c>
      <c r="I19" s="1">
        <v>3</v>
      </c>
      <c r="J19" s="1">
        <v>20</v>
      </c>
      <c r="K19" s="1">
        <v>10</v>
      </c>
      <c r="L19" s="1">
        <v>88.4</v>
      </c>
      <c r="M19" s="1">
        <v>39.783730400000003</v>
      </c>
      <c r="N19" s="1">
        <v>-100.445882</v>
      </c>
    </row>
    <row r="20" spans="1:14">
      <c r="A20" s="1">
        <v>19</v>
      </c>
      <c r="B20" s="1" t="s">
        <v>36</v>
      </c>
      <c r="C20" s="1" t="s">
        <v>15</v>
      </c>
      <c r="D20" s="1">
        <v>15</v>
      </c>
      <c r="E20" s="1">
        <v>75</v>
      </c>
      <c r="F20" s="1">
        <v>220</v>
      </c>
      <c r="G20" s="1">
        <v>26</v>
      </c>
      <c r="H20" s="1">
        <v>11</v>
      </c>
      <c r="I20" s="1">
        <v>9</v>
      </c>
      <c r="J20" s="1">
        <v>9</v>
      </c>
      <c r="K20" s="1">
        <v>9</v>
      </c>
      <c r="L20" s="1">
        <v>88.2</v>
      </c>
      <c r="M20" s="1">
        <v>39.783730400000003</v>
      </c>
      <c r="N20" s="1">
        <v>-100.445882</v>
      </c>
    </row>
    <row r="21" spans="1:14">
      <c r="A21" s="1">
        <v>20</v>
      </c>
      <c r="B21" s="1" t="s">
        <v>37</v>
      </c>
      <c r="C21" s="1" t="s">
        <v>15</v>
      </c>
      <c r="D21" s="1">
        <v>16</v>
      </c>
      <c r="E21" s="1">
        <v>37</v>
      </c>
      <c r="F21" s="1">
        <v>1001</v>
      </c>
      <c r="G21" s="1">
        <v>16</v>
      </c>
      <c r="H21" s="1">
        <v>28</v>
      </c>
      <c r="I21" s="1">
        <v>16</v>
      </c>
      <c r="J21" s="1">
        <v>5</v>
      </c>
      <c r="K21" s="1">
        <v>16</v>
      </c>
      <c r="L21" s="1">
        <v>88</v>
      </c>
      <c r="M21" s="1">
        <v>39.783730400000003</v>
      </c>
      <c r="N21" s="1">
        <v>-100.445882</v>
      </c>
    </row>
    <row r="22" spans="1:14">
      <c r="A22" s="1">
        <v>21</v>
      </c>
      <c r="B22" s="1" t="s">
        <v>38</v>
      </c>
      <c r="C22" s="1" t="s">
        <v>19</v>
      </c>
      <c r="D22" s="1">
        <v>3</v>
      </c>
      <c r="E22" s="1">
        <v>32</v>
      </c>
      <c r="F22" s="1">
        <v>739</v>
      </c>
      <c r="G22" s="1">
        <v>28</v>
      </c>
      <c r="H22" s="1">
        <v>5</v>
      </c>
      <c r="I22" s="1">
        <v>7</v>
      </c>
      <c r="J22" s="1">
        <v>19</v>
      </c>
      <c r="K22" s="1">
        <v>19</v>
      </c>
      <c r="L22" s="1">
        <v>87.8</v>
      </c>
      <c r="M22" s="1">
        <v>54.702354499999998</v>
      </c>
      <c r="N22" s="1">
        <v>-3.2765753000000002</v>
      </c>
    </row>
    <row r="23" spans="1:14">
      <c r="A23" s="1">
        <v>22</v>
      </c>
      <c r="B23" s="1" t="s">
        <v>39</v>
      </c>
      <c r="C23" s="1" t="s">
        <v>15</v>
      </c>
      <c r="D23" s="1">
        <v>17</v>
      </c>
      <c r="E23" s="1">
        <v>667</v>
      </c>
      <c r="F23" s="1">
        <v>1001</v>
      </c>
      <c r="G23" s="1">
        <v>13</v>
      </c>
      <c r="H23" s="1">
        <v>45</v>
      </c>
      <c r="I23" s="1">
        <v>23</v>
      </c>
      <c r="J23" s="1">
        <v>8</v>
      </c>
      <c r="K23" s="1">
        <v>17</v>
      </c>
      <c r="L23" s="1">
        <v>87.7</v>
      </c>
      <c r="M23" s="1">
        <v>39.783730400000003</v>
      </c>
      <c r="N23" s="1">
        <v>-100.445882</v>
      </c>
    </row>
    <row r="24" spans="1:14">
      <c r="A24" s="1">
        <v>23</v>
      </c>
      <c r="B24" s="1" t="s">
        <v>40</v>
      </c>
      <c r="C24" s="1" t="s">
        <v>15</v>
      </c>
      <c r="D24" s="1">
        <v>18</v>
      </c>
      <c r="E24" s="1">
        <v>129</v>
      </c>
      <c r="F24" s="1">
        <v>18</v>
      </c>
      <c r="G24" s="1">
        <v>44</v>
      </c>
      <c r="H24" s="1">
        <v>52</v>
      </c>
      <c r="I24" s="1">
        <v>28</v>
      </c>
      <c r="J24" s="1">
        <v>36</v>
      </c>
      <c r="K24" s="1">
        <v>34</v>
      </c>
      <c r="L24" s="1">
        <v>87.5</v>
      </c>
      <c r="M24" s="1">
        <v>39.783730400000003</v>
      </c>
      <c r="N24" s="1">
        <v>-100.445882</v>
      </c>
    </row>
    <row r="25" spans="1:14">
      <c r="A25" s="1">
        <v>24</v>
      </c>
      <c r="B25" s="1" t="s">
        <v>41</v>
      </c>
      <c r="C25" s="1" t="s">
        <v>15</v>
      </c>
      <c r="D25" s="1">
        <v>19</v>
      </c>
      <c r="E25" s="1">
        <v>98</v>
      </c>
      <c r="F25" s="1">
        <v>46</v>
      </c>
      <c r="G25" s="1">
        <v>47</v>
      </c>
      <c r="H25" s="1">
        <v>36</v>
      </c>
      <c r="I25" s="1">
        <v>20</v>
      </c>
      <c r="J25" s="1">
        <v>21</v>
      </c>
      <c r="K25" s="1">
        <v>14</v>
      </c>
      <c r="L25" s="1">
        <v>87.3</v>
      </c>
      <c r="M25" s="1">
        <v>39.783730400000003</v>
      </c>
      <c r="N25" s="1">
        <v>-100.445882</v>
      </c>
    </row>
    <row r="26" spans="1:14">
      <c r="A26" s="1">
        <v>25</v>
      </c>
      <c r="B26" s="1" t="s">
        <v>42</v>
      </c>
      <c r="C26" s="1" t="s">
        <v>15</v>
      </c>
      <c r="D26" s="1">
        <v>20</v>
      </c>
      <c r="E26" s="1">
        <v>64</v>
      </c>
      <c r="F26" s="1">
        <v>40</v>
      </c>
      <c r="G26" s="1">
        <v>18</v>
      </c>
      <c r="H26" s="1">
        <v>70</v>
      </c>
      <c r="I26" s="1">
        <v>50</v>
      </c>
      <c r="J26" s="1">
        <v>29</v>
      </c>
      <c r="K26" s="1">
        <v>35</v>
      </c>
      <c r="L26" s="1">
        <v>87.2</v>
      </c>
      <c r="M26" s="1">
        <v>39.783730400000003</v>
      </c>
      <c r="N26" s="1">
        <v>-100.445882</v>
      </c>
    </row>
    <row r="27" spans="1:14">
      <c r="A27" s="1">
        <v>26</v>
      </c>
      <c r="B27" s="1" t="s">
        <v>43</v>
      </c>
      <c r="C27" s="1" t="s">
        <v>28</v>
      </c>
      <c r="D27" s="1">
        <v>2</v>
      </c>
      <c r="E27" s="1">
        <v>25</v>
      </c>
      <c r="F27" s="1">
        <v>29</v>
      </c>
      <c r="G27" s="1">
        <v>24</v>
      </c>
      <c r="H27" s="1">
        <v>29</v>
      </c>
      <c r="I27" s="1">
        <v>45</v>
      </c>
      <c r="J27" s="1">
        <v>48</v>
      </c>
      <c r="K27" s="1">
        <v>101</v>
      </c>
      <c r="L27" s="1">
        <v>87</v>
      </c>
      <c r="M27" s="1">
        <v>36.5748441</v>
      </c>
      <c r="N27" s="1">
        <v>139.23941790000001</v>
      </c>
    </row>
    <row r="28" spans="1:14">
      <c r="A28" s="1">
        <v>27</v>
      </c>
      <c r="B28" s="1" t="s">
        <v>44</v>
      </c>
      <c r="C28" s="1" t="s">
        <v>15</v>
      </c>
      <c r="D28" s="1">
        <v>21</v>
      </c>
      <c r="E28" s="1">
        <v>65</v>
      </c>
      <c r="F28" s="1">
        <v>79</v>
      </c>
      <c r="G28" s="1">
        <v>32</v>
      </c>
      <c r="H28" s="1">
        <v>32</v>
      </c>
      <c r="I28" s="1">
        <v>26</v>
      </c>
      <c r="J28" s="1">
        <v>30</v>
      </c>
      <c r="K28" s="1">
        <v>15</v>
      </c>
      <c r="L28" s="1">
        <v>86.9</v>
      </c>
      <c r="M28" s="1">
        <v>39.783730400000003</v>
      </c>
      <c r="N28" s="1">
        <v>-100.445882</v>
      </c>
    </row>
    <row r="29" spans="1:14">
      <c r="A29" s="1">
        <v>28</v>
      </c>
      <c r="B29" s="1" t="s">
        <v>45</v>
      </c>
      <c r="C29" s="1" t="s">
        <v>46</v>
      </c>
      <c r="D29" s="1">
        <v>1</v>
      </c>
      <c r="E29" s="1">
        <v>29</v>
      </c>
      <c r="F29" s="1">
        <v>98</v>
      </c>
      <c r="G29" s="1">
        <v>20</v>
      </c>
      <c r="H29" s="1">
        <v>57</v>
      </c>
      <c r="I29" s="1">
        <v>42</v>
      </c>
      <c r="J29" s="1">
        <v>27</v>
      </c>
      <c r="K29" s="1">
        <v>59</v>
      </c>
      <c r="L29" s="1">
        <v>86.7</v>
      </c>
      <c r="M29" s="1">
        <v>46.798562400000002</v>
      </c>
      <c r="N29" s="1">
        <v>8.2319735999999999</v>
      </c>
    </row>
    <row r="30" spans="1:14">
      <c r="A30" s="1">
        <v>29</v>
      </c>
      <c r="B30" s="1" t="s">
        <v>47</v>
      </c>
      <c r="C30" s="1" t="s">
        <v>48</v>
      </c>
      <c r="D30" s="1">
        <v>1</v>
      </c>
      <c r="E30" s="1">
        <v>46</v>
      </c>
      <c r="F30" s="1">
        <v>344</v>
      </c>
      <c r="G30" s="1">
        <v>56</v>
      </c>
      <c r="H30" s="1">
        <v>6</v>
      </c>
      <c r="I30" s="1">
        <v>13</v>
      </c>
      <c r="J30" s="1">
        <v>24</v>
      </c>
      <c r="K30" s="1">
        <v>22</v>
      </c>
      <c r="L30" s="1">
        <v>86.6</v>
      </c>
      <c r="M30" s="1">
        <v>46.603354000000003</v>
      </c>
      <c r="N30" s="1">
        <v>1.8883335000000001</v>
      </c>
    </row>
    <row r="31" spans="1:14">
      <c r="A31" s="1">
        <v>30</v>
      </c>
      <c r="B31" s="1" t="s">
        <v>49</v>
      </c>
      <c r="C31" s="1" t="s">
        <v>19</v>
      </c>
      <c r="D31" s="1">
        <v>4</v>
      </c>
      <c r="E31" s="1">
        <v>93</v>
      </c>
      <c r="F31" s="1">
        <v>103</v>
      </c>
      <c r="G31" s="1">
        <v>43</v>
      </c>
      <c r="H31" s="1">
        <v>21</v>
      </c>
      <c r="I31" s="1">
        <v>18</v>
      </c>
      <c r="J31" s="1">
        <v>25</v>
      </c>
      <c r="K31" s="1">
        <v>29</v>
      </c>
      <c r="L31" s="1">
        <v>86.5</v>
      </c>
      <c r="M31" s="1">
        <v>54.702354499999998</v>
      </c>
      <c r="N31" s="1">
        <v>-3.2765753000000002</v>
      </c>
    </row>
    <row r="32" spans="1:14">
      <c r="A32" s="1">
        <v>31</v>
      </c>
      <c r="B32" s="1" t="s">
        <v>50</v>
      </c>
      <c r="C32" s="1" t="s">
        <v>15</v>
      </c>
      <c r="D32" s="1">
        <v>22</v>
      </c>
      <c r="E32" s="1">
        <v>108</v>
      </c>
      <c r="F32" s="1">
        <v>62</v>
      </c>
      <c r="G32" s="1">
        <v>29</v>
      </c>
      <c r="H32" s="1">
        <v>73</v>
      </c>
      <c r="I32" s="1">
        <v>58</v>
      </c>
      <c r="J32" s="1">
        <v>58</v>
      </c>
      <c r="K32" s="1">
        <v>24</v>
      </c>
      <c r="L32" s="1">
        <v>86.3</v>
      </c>
      <c r="M32" s="1">
        <v>39.783730400000003</v>
      </c>
      <c r="N32" s="1">
        <v>-100.445882</v>
      </c>
    </row>
    <row r="33" spans="1:14">
      <c r="A33" s="1">
        <v>32</v>
      </c>
      <c r="B33" s="1" t="s">
        <v>51</v>
      </c>
      <c r="C33" s="1" t="s">
        <v>15</v>
      </c>
      <c r="D33" s="1">
        <v>23</v>
      </c>
      <c r="E33" s="1">
        <v>40</v>
      </c>
      <c r="F33" s="1">
        <v>150</v>
      </c>
      <c r="G33" s="1">
        <v>27</v>
      </c>
      <c r="H33" s="1">
        <v>65</v>
      </c>
      <c r="I33" s="1">
        <v>55</v>
      </c>
      <c r="J33" s="1">
        <v>61</v>
      </c>
      <c r="K33" s="1">
        <v>50</v>
      </c>
      <c r="L33" s="1">
        <v>86.2</v>
      </c>
      <c r="M33" s="1">
        <v>39.783730400000003</v>
      </c>
      <c r="N33" s="1">
        <v>-100.445882</v>
      </c>
    </row>
    <row r="34" spans="1:14">
      <c r="A34" s="1">
        <v>33</v>
      </c>
      <c r="B34" s="1" t="s">
        <v>52</v>
      </c>
      <c r="C34" s="1" t="s">
        <v>15</v>
      </c>
      <c r="D34" s="1">
        <v>24</v>
      </c>
      <c r="E34" s="1">
        <v>205</v>
      </c>
      <c r="F34" s="1">
        <v>120</v>
      </c>
      <c r="G34" s="1">
        <v>72</v>
      </c>
      <c r="H34" s="1">
        <v>50</v>
      </c>
      <c r="I34" s="1">
        <v>30</v>
      </c>
      <c r="J34" s="1">
        <v>33</v>
      </c>
      <c r="K34" s="1">
        <v>21</v>
      </c>
      <c r="L34" s="1">
        <v>86.1</v>
      </c>
      <c r="M34" s="1">
        <v>39.783730400000003</v>
      </c>
      <c r="N34" s="1">
        <v>-100.445882</v>
      </c>
    </row>
    <row r="35" spans="1:14">
      <c r="A35" s="1">
        <v>34</v>
      </c>
      <c r="B35" s="1" t="s">
        <v>53</v>
      </c>
      <c r="C35" s="1" t="s">
        <v>19</v>
      </c>
      <c r="D35" s="1">
        <v>5</v>
      </c>
      <c r="E35" s="1">
        <v>61</v>
      </c>
      <c r="F35" s="1">
        <v>325</v>
      </c>
      <c r="G35" s="1">
        <v>36</v>
      </c>
      <c r="H35" s="1">
        <v>72</v>
      </c>
      <c r="I35" s="1">
        <v>56</v>
      </c>
      <c r="J35" s="1">
        <v>31</v>
      </c>
      <c r="K35" s="1">
        <v>48</v>
      </c>
      <c r="L35" s="1">
        <v>86</v>
      </c>
      <c r="M35" s="1">
        <v>54.702354499999998</v>
      </c>
      <c r="N35" s="1">
        <v>-3.2765753000000002</v>
      </c>
    </row>
    <row r="36" spans="1:14">
      <c r="A36" s="1">
        <v>35</v>
      </c>
      <c r="B36" s="1" t="s">
        <v>54</v>
      </c>
      <c r="C36" s="1" t="s">
        <v>15</v>
      </c>
      <c r="D36" s="1">
        <v>25</v>
      </c>
      <c r="E36" s="1">
        <v>131</v>
      </c>
      <c r="F36" s="1">
        <v>302</v>
      </c>
      <c r="G36" s="1">
        <v>76</v>
      </c>
      <c r="H36" s="1">
        <v>24</v>
      </c>
      <c r="I36" s="1">
        <v>21</v>
      </c>
      <c r="J36" s="1">
        <v>35</v>
      </c>
      <c r="K36" s="1">
        <v>28</v>
      </c>
      <c r="L36" s="1">
        <v>85.9</v>
      </c>
      <c r="M36" s="1">
        <v>39.783730400000003</v>
      </c>
      <c r="N36" s="1">
        <v>-100.445882</v>
      </c>
    </row>
    <row r="37" spans="1:14">
      <c r="A37" s="1">
        <v>36</v>
      </c>
      <c r="B37" s="1" t="s">
        <v>55</v>
      </c>
      <c r="C37" s="1" t="s">
        <v>15</v>
      </c>
      <c r="D37" s="1">
        <v>26</v>
      </c>
      <c r="E37" s="1">
        <v>206</v>
      </c>
      <c r="F37" s="1">
        <v>161</v>
      </c>
      <c r="G37" s="1">
        <v>64</v>
      </c>
      <c r="H37" s="1">
        <v>81</v>
      </c>
      <c r="I37" s="1">
        <v>46</v>
      </c>
      <c r="J37" s="1">
        <v>22</v>
      </c>
      <c r="K37" s="1">
        <v>22</v>
      </c>
      <c r="L37" s="1">
        <v>85.8</v>
      </c>
      <c r="M37" s="1">
        <v>39.783730400000003</v>
      </c>
      <c r="N37" s="1">
        <v>-100.445882</v>
      </c>
    </row>
    <row r="38" spans="1:14">
      <c r="A38" s="1">
        <v>37</v>
      </c>
      <c r="B38" s="1" t="s">
        <v>56</v>
      </c>
      <c r="C38" s="1" t="s">
        <v>34</v>
      </c>
      <c r="D38" s="1">
        <v>2</v>
      </c>
      <c r="E38" s="1">
        <v>68</v>
      </c>
      <c r="F38" s="1">
        <v>86</v>
      </c>
      <c r="G38" s="1">
        <v>65</v>
      </c>
      <c r="H38" s="1">
        <v>44</v>
      </c>
      <c r="I38" s="1">
        <v>36</v>
      </c>
      <c r="J38" s="1">
        <v>53</v>
      </c>
      <c r="K38" s="1">
        <v>39</v>
      </c>
      <c r="L38" s="1">
        <v>85.6</v>
      </c>
      <c r="M38" s="1">
        <v>61.066692199999999</v>
      </c>
      <c r="N38" s="1">
        <v>-107.99170700000001</v>
      </c>
    </row>
    <row r="39" spans="1:14">
      <c r="A39" s="1">
        <v>38</v>
      </c>
      <c r="B39" s="1" t="s">
        <v>57</v>
      </c>
      <c r="C39" s="1" t="s">
        <v>34</v>
      </c>
      <c r="D39" s="1">
        <v>3</v>
      </c>
      <c r="E39" s="1">
        <v>173</v>
      </c>
      <c r="F39" s="1">
        <v>699</v>
      </c>
      <c r="G39" s="1">
        <v>78</v>
      </c>
      <c r="H39" s="1">
        <v>25</v>
      </c>
      <c r="I39" s="1">
        <v>27</v>
      </c>
      <c r="J39" s="1">
        <v>37</v>
      </c>
      <c r="K39" s="1">
        <v>24</v>
      </c>
      <c r="L39" s="1">
        <v>85.5</v>
      </c>
      <c r="M39" s="1">
        <v>61.066692199999999</v>
      </c>
      <c r="N39" s="1">
        <v>-107.99170700000001</v>
      </c>
    </row>
    <row r="40" spans="1:14">
      <c r="A40" s="1">
        <v>39</v>
      </c>
      <c r="B40" s="1" t="s">
        <v>58</v>
      </c>
      <c r="C40" s="1" t="s">
        <v>59</v>
      </c>
      <c r="D40" s="1">
        <v>1</v>
      </c>
      <c r="E40" s="1">
        <v>302</v>
      </c>
      <c r="F40" s="1">
        <v>364</v>
      </c>
      <c r="G40" s="1">
        <v>79</v>
      </c>
      <c r="H40" s="1">
        <v>26</v>
      </c>
      <c r="I40" s="1">
        <v>29</v>
      </c>
      <c r="J40" s="1">
        <v>26</v>
      </c>
      <c r="K40" s="1">
        <v>38</v>
      </c>
      <c r="L40" s="1">
        <v>85.4</v>
      </c>
      <c r="M40" s="1">
        <v>55.670248999999998</v>
      </c>
      <c r="N40" s="1">
        <v>10.3333283</v>
      </c>
    </row>
    <row r="41" spans="1:14">
      <c r="A41" s="1">
        <v>40</v>
      </c>
      <c r="B41" s="1" t="s">
        <v>60</v>
      </c>
      <c r="C41" s="1" t="s">
        <v>15</v>
      </c>
      <c r="D41" s="1">
        <v>27</v>
      </c>
      <c r="E41" s="1">
        <v>165</v>
      </c>
      <c r="F41" s="1">
        <v>254</v>
      </c>
      <c r="G41" s="1">
        <v>70</v>
      </c>
      <c r="H41" s="1">
        <v>33</v>
      </c>
      <c r="I41" s="1">
        <v>31</v>
      </c>
      <c r="J41" s="1">
        <v>50</v>
      </c>
      <c r="K41" s="1">
        <v>35</v>
      </c>
      <c r="L41" s="1">
        <v>85.3</v>
      </c>
      <c r="M41" s="1">
        <v>39.783730400000003</v>
      </c>
      <c r="N41" s="1">
        <v>-100.445882</v>
      </c>
    </row>
    <row r="42" spans="1:14">
      <c r="A42" s="1">
        <v>41</v>
      </c>
      <c r="B42" s="1" t="s">
        <v>61</v>
      </c>
      <c r="C42" s="1" t="s">
        <v>15</v>
      </c>
      <c r="D42" s="1">
        <v>28</v>
      </c>
      <c r="E42" s="1">
        <v>212</v>
      </c>
      <c r="F42" s="1">
        <v>101</v>
      </c>
      <c r="G42" s="1">
        <v>35</v>
      </c>
      <c r="H42" s="1">
        <v>74</v>
      </c>
      <c r="I42" s="1">
        <v>67</v>
      </c>
      <c r="J42" s="1">
        <v>62</v>
      </c>
      <c r="K42" s="1">
        <v>59</v>
      </c>
      <c r="L42" s="1">
        <v>85.2</v>
      </c>
      <c r="M42" s="1">
        <v>39.783730400000003</v>
      </c>
      <c r="N42" s="1">
        <v>-100.445882</v>
      </c>
    </row>
    <row r="43" spans="1:14">
      <c r="A43" s="1">
        <v>42</v>
      </c>
      <c r="B43" s="1" t="s">
        <v>62</v>
      </c>
      <c r="C43" s="1" t="s">
        <v>15</v>
      </c>
      <c r="D43" s="1">
        <v>29</v>
      </c>
      <c r="E43" s="1">
        <v>83</v>
      </c>
      <c r="F43" s="1">
        <v>579</v>
      </c>
      <c r="G43" s="1">
        <v>75</v>
      </c>
      <c r="H43" s="1">
        <v>42</v>
      </c>
      <c r="I43" s="1">
        <v>35</v>
      </c>
      <c r="J43" s="1">
        <v>39</v>
      </c>
      <c r="K43" s="1">
        <v>31</v>
      </c>
      <c r="L43" s="1">
        <v>85.1</v>
      </c>
      <c r="M43" s="1">
        <v>39.783730400000003</v>
      </c>
      <c r="N43" s="1">
        <v>-100.445882</v>
      </c>
    </row>
    <row r="44" spans="1:14">
      <c r="A44" s="1">
        <v>43</v>
      </c>
      <c r="B44" s="1" t="s">
        <v>63</v>
      </c>
      <c r="C44" s="1" t="s">
        <v>15</v>
      </c>
      <c r="D44" s="1">
        <v>30</v>
      </c>
      <c r="E44" s="1">
        <v>374</v>
      </c>
      <c r="F44" s="1">
        <v>168</v>
      </c>
      <c r="G44" s="1">
        <v>60</v>
      </c>
      <c r="H44" s="1">
        <v>43</v>
      </c>
      <c r="I44" s="1">
        <v>40</v>
      </c>
      <c r="J44" s="1">
        <v>41</v>
      </c>
      <c r="K44" s="1">
        <v>51</v>
      </c>
      <c r="L44" s="1">
        <v>85</v>
      </c>
      <c r="M44" s="1">
        <v>39.783730400000003</v>
      </c>
      <c r="N44" s="1">
        <v>-100.445882</v>
      </c>
    </row>
    <row r="45" spans="1:14">
      <c r="A45" s="1">
        <v>44</v>
      </c>
      <c r="B45" s="1" t="s">
        <v>64</v>
      </c>
      <c r="C45" s="1" t="s">
        <v>19</v>
      </c>
      <c r="D45" s="1">
        <v>6</v>
      </c>
      <c r="E45" s="1">
        <v>171</v>
      </c>
      <c r="F45" s="1">
        <v>227</v>
      </c>
      <c r="G45" s="1">
        <v>63</v>
      </c>
      <c r="H45" s="1">
        <v>49</v>
      </c>
      <c r="I45" s="1">
        <v>48</v>
      </c>
      <c r="J45" s="1">
        <v>65</v>
      </c>
      <c r="K45" s="1">
        <v>35</v>
      </c>
      <c r="L45" s="1">
        <v>85</v>
      </c>
      <c r="M45" s="1">
        <v>54.702354499999998</v>
      </c>
      <c r="N45" s="1">
        <v>-3.2765753000000002</v>
      </c>
    </row>
    <row r="46" spans="1:14">
      <c r="A46" s="1">
        <v>45</v>
      </c>
      <c r="B46" s="1" t="s">
        <v>65</v>
      </c>
      <c r="C46" s="1" t="s">
        <v>66</v>
      </c>
      <c r="D46" s="1">
        <v>1</v>
      </c>
      <c r="E46" s="1">
        <v>8</v>
      </c>
      <c r="F46" s="1">
        <v>1001</v>
      </c>
      <c r="G46" s="1">
        <v>22</v>
      </c>
      <c r="H46" s="1">
        <v>445</v>
      </c>
      <c r="I46" s="1">
        <v>292</v>
      </c>
      <c r="J46" s="1">
        <v>69</v>
      </c>
      <c r="K46" s="1">
        <v>254</v>
      </c>
      <c r="L46" s="1">
        <v>84.9</v>
      </c>
      <c r="M46" s="1">
        <v>39.3181528</v>
      </c>
      <c r="N46" s="1">
        <v>-79.810901400000006</v>
      </c>
    </row>
    <row r="47" spans="1:14">
      <c r="A47" s="1">
        <v>46</v>
      </c>
      <c r="B47" s="1" t="s">
        <v>67</v>
      </c>
      <c r="C47" s="1" t="s">
        <v>68</v>
      </c>
      <c r="D47" s="1">
        <v>1</v>
      </c>
      <c r="E47" s="1">
        <v>71</v>
      </c>
      <c r="F47" s="1">
        <v>807</v>
      </c>
      <c r="G47" s="1">
        <v>51</v>
      </c>
      <c r="H47" s="1">
        <v>63</v>
      </c>
      <c r="I47" s="1">
        <v>64</v>
      </c>
      <c r="J47" s="1">
        <v>51</v>
      </c>
      <c r="K47" s="1">
        <v>53</v>
      </c>
      <c r="L47" s="1">
        <v>84.8</v>
      </c>
      <c r="M47" s="1">
        <v>40.420347900000003</v>
      </c>
      <c r="N47" s="1">
        <v>-79.116698299999996</v>
      </c>
    </row>
    <row r="48" spans="1:14">
      <c r="A48" s="1">
        <v>47</v>
      </c>
      <c r="B48" s="1" t="s">
        <v>69</v>
      </c>
      <c r="C48" s="1" t="s">
        <v>15</v>
      </c>
      <c r="D48" s="1">
        <v>31</v>
      </c>
      <c r="E48" s="1">
        <v>103</v>
      </c>
      <c r="F48" s="1">
        <v>480</v>
      </c>
      <c r="G48" s="1">
        <v>55</v>
      </c>
      <c r="H48" s="1">
        <v>92</v>
      </c>
      <c r="I48" s="1">
        <v>72</v>
      </c>
      <c r="J48" s="1">
        <v>45</v>
      </c>
      <c r="K48" s="1">
        <v>42</v>
      </c>
      <c r="L48" s="1">
        <v>84.7</v>
      </c>
      <c r="M48" s="1">
        <v>39.783730400000003</v>
      </c>
      <c r="N48" s="1">
        <v>-100.445882</v>
      </c>
    </row>
    <row r="49" spans="1:14">
      <c r="A49" s="1">
        <v>48</v>
      </c>
      <c r="B49" s="1" t="s">
        <v>70</v>
      </c>
      <c r="C49" s="1" t="s">
        <v>68</v>
      </c>
      <c r="D49" s="1">
        <v>2</v>
      </c>
      <c r="E49" s="1">
        <v>91</v>
      </c>
      <c r="F49" s="1">
        <v>266</v>
      </c>
      <c r="G49" s="1">
        <v>83</v>
      </c>
      <c r="H49" s="1">
        <v>53</v>
      </c>
      <c r="I49" s="1">
        <v>57</v>
      </c>
      <c r="J49" s="1">
        <v>42</v>
      </c>
      <c r="K49" s="1">
        <v>46</v>
      </c>
      <c r="L49" s="1">
        <v>84.6</v>
      </c>
      <c r="M49" s="1">
        <v>40.420347900000003</v>
      </c>
      <c r="N49" s="1">
        <v>-79.116698299999996</v>
      </c>
    </row>
    <row r="50" spans="1:14">
      <c r="A50" s="1">
        <v>49</v>
      </c>
      <c r="B50" s="1" t="s">
        <v>71</v>
      </c>
      <c r="C50" s="1" t="s">
        <v>72</v>
      </c>
      <c r="D50" s="1">
        <v>1</v>
      </c>
      <c r="E50" s="1">
        <v>162</v>
      </c>
      <c r="F50" s="1">
        <v>1001</v>
      </c>
      <c r="G50" s="1">
        <v>46</v>
      </c>
      <c r="H50" s="1">
        <v>67</v>
      </c>
      <c r="I50" s="1">
        <v>53</v>
      </c>
      <c r="J50" s="1">
        <v>46</v>
      </c>
      <c r="K50" s="1">
        <v>108</v>
      </c>
      <c r="L50" s="1">
        <v>84.5</v>
      </c>
      <c r="M50" s="1">
        <v>44.133434999999999</v>
      </c>
      <c r="N50" s="1">
        <v>-70.822677999999996</v>
      </c>
    </row>
    <row r="51" spans="1:14">
      <c r="A51" s="1">
        <v>50</v>
      </c>
      <c r="B51" s="1" t="s">
        <v>73</v>
      </c>
      <c r="C51" s="1" t="s">
        <v>15</v>
      </c>
      <c r="D51" s="1">
        <v>32</v>
      </c>
      <c r="E51" s="1">
        <v>134</v>
      </c>
      <c r="F51" s="1">
        <v>170</v>
      </c>
      <c r="G51" s="1">
        <v>41</v>
      </c>
      <c r="H51" s="1">
        <v>145</v>
      </c>
      <c r="I51" s="1">
        <v>111</v>
      </c>
      <c r="J51" s="1">
        <v>40</v>
      </c>
      <c r="K51" s="1">
        <v>59</v>
      </c>
      <c r="L51" s="1">
        <v>84.4</v>
      </c>
      <c r="M51" s="1">
        <v>39.783730400000003</v>
      </c>
      <c r="N51" s="1">
        <v>-100.445882</v>
      </c>
    </row>
    <row r="52" spans="1:14">
      <c r="A52" s="1">
        <v>51</v>
      </c>
      <c r="B52" s="1" t="s">
        <v>74</v>
      </c>
      <c r="C52" s="1" t="s">
        <v>15</v>
      </c>
      <c r="D52" s="1">
        <v>33</v>
      </c>
      <c r="E52" s="1">
        <v>215</v>
      </c>
      <c r="F52" s="1">
        <v>111</v>
      </c>
      <c r="G52" s="1">
        <v>40</v>
      </c>
      <c r="H52" s="1">
        <v>121</v>
      </c>
      <c r="I52" s="1">
        <v>88</v>
      </c>
      <c r="J52" s="1">
        <v>74</v>
      </c>
      <c r="K52" s="1">
        <v>66</v>
      </c>
      <c r="L52" s="1">
        <v>84.4</v>
      </c>
      <c r="M52" s="1">
        <v>39.783730400000003</v>
      </c>
      <c r="N52" s="1">
        <v>-100.445882</v>
      </c>
    </row>
    <row r="53" spans="1:14">
      <c r="A53" s="1">
        <v>52</v>
      </c>
      <c r="B53" s="1" t="s">
        <v>75</v>
      </c>
      <c r="C53" s="1" t="s">
        <v>15</v>
      </c>
      <c r="D53" s="1">
        <v>34</v>
      </c>
      <c r="E53" s="1">
        <v>166</v>
      </c>
      <c r="F53" s="1">
        <v>164</v>
      </c>
      <c r="G53" s="1">
        <v>53</v>
      </c>
      <c r="H53" s="1">
        <v>111</v>
      </c>
      <c r="I53" s="1">
        <v>96</v>
      </c>
      <c r="J53" s="1">
        <v>43</v>
      </c>
      <c r="K53" s="1">
        <v>48</v>
      </c>
      <c r="L53" s="1">
        <v>84.3</v>
      </c>
      <c r="M53" s="1">
        <v>39.783730400000003</v>
      </c>
      <c r="N53" s="1">
        <v>-100.445882</v>
      </c>
    </row>
    <row r="54" spans="1:14">
      <c r="A54" s="1">
        <v>53</v>
      </c>
      <c r="B54" s="1" t="s">
        <v>76</v>
      </c>
      <c r="C54" s="1" t="s">
        <v>28</v>
      </c>
      <c r="D54" s="1">
        <v>3</v>
      </c>
      <c r="E54" s="1">
        <v>70</v>
      </c>
      <c r="F54" s="1">
        <v>65</v>
      </c>
      <c r="G54" s="1">
        <v>61</v>
      </c>
      <c r="H54" s="1">
        <v>59</v>
      </c>
      <c r="I54" s="1">
        <v>82</v>
      </c>
      <c r="J54" s="1">
        <v>83</v>
      </c>
      <c r="K54" s="1">
        <v>174</v>
      </c>
      <c r="L54" s="1">
        <v>84.2</v>
      </c>
      <c r="M54" s="1">
        <v>36.5748441</v>
      </c>
      <c r="N54" s="1">
        <v>139.23941790000001</v>
      </c>
    </row>
    <row r="55" spans="1:14">
      <c r="A55" s="1">
        <v>54</v>
      </c>
      <c r="B55" s="1" t="s">
        <v>77</v>
      </c>
      <c r="C55" s="1" t="s">
        <v>48</v>
      </c>
      <c r="D55" s="1">
        <v>2</v>
      </c>
      <c r="E55" s="1">
        <v>49</v>
      </c>
      <c r="F55" s="1">
        <v>815</v>
      </c>
      <c r="G55" s="1">
        <v>38</v>
      </c>
      <c r="H55" s="1">
        <v>103</v>
      </c>
      <c r="I55" s="1">
        <v>86</v>
      </c>
      <c r="J55" s="1">
        <v>98</v>
      </c>
      <c r="K55" s="1">
        <v>76</v>
      </c>
      <c r="L55" s="1">
        <v>84.1</v>
      </c>
      <c r="M55" s="1">
        <v>46.603354000000003</v>
      </c>
      <c r="N55" s="1">
        <v>1.8883335000000001</v>
      </c>
    </row>
    <row r="56" spans="1:14">
      <c r="A56" s="1">
        <v>55</v>
      </c>
      <c r="B56" s="1" t="s">
        <v>78</v>
      </c>
      <c r="C56" s="1" t="s">
        <v>46</v>
      </c>
      <c r="D56" s="1">
        <v>2</v>
      </c>
      <c r="E56" s="1">
        <v>35</v>
      </c>
      <c r="F56" s="1">
        <v>381</v>
      </c>
      <c r="G56" s="1">
        <v>31</v>
      </c>
      <c r="H56" s="1">
        <v>147</v>
      </c>
      <c r="I56" s="1">
        <v>130</v>
      </c>
      <c r="J56" s="1">
        <v>87</v>
      </c>
      <c r="K56" s="1">
        <v>72</v>
      </c>
      <c r="L56" s="1">
        <v>84</v>
      </c>
      <c r="M56" s="1">
        <v>46.798562400000002</v>
      </c>
      <c r="N56" s="1">
        <v>8.2319735999999999</v>
      </c>
    </row>
    <row r="57" spans="1:14">
      <c r="A57" s="1">
        <v>56</v>
      </c>
      <c r="B57" s="1" t="s">
        <v>79</v>
      </c>
      <c r="C57" s="1" t="s">
        <v>15</v>
      </c>
      <c r="D57" s="1">
        <v>35</v>
      </c>
      <c r="E57" s="1">
        <v>572</v>
      </c>
      <c r="F57" s="1">
        <v>112</v>
      </c>
      <c r="G57" s="1">
        <v>106</v>
      </c>
      <c r="H57" s="1">
        <v>113</v>
      </c>
      <c r="I57" s="1">
        <v>75</v>
      </c>
      <c r="J57" s="1">
        <v>52</v>
      </c>
      <c r="K57" s="1">
        <v>26</v>
      </c>
      <c r="L57" s="1">
        <v>84</v>
      </c>
      <c r="M57" s="1">
        <v>39.783730400000003</v>
      </c>
      <c r="N57" s="1">
        <v>-100.445882</v>
      </c>
    </row>
    <row r="58" spans="1:14">
      <c r="A58" s="1">
        <v>57</v>
      </c>
      <c r="B58" s="1" t="s">
        <v>80</v>
      </c>
      <c r="C58" s="1" t="s">
        <v>81</v>
      </c>
      <c r="D58" s="1">
        <v>1</v>
      </c>
      <c r="E58" s="1">
        <v>232</v>
      </c>
      <c r="F58" s="1">
        <v>408</v>
      </c>
      <c r="G58" s="1">
        <v>180</v>
      </c>
      <c r="H58" s="1">
        <v>35</v>
      </c>
      <c r="I58" s="1">
        <v>34</v>
      </c>
      <c r="J58" s="1">
        <v>54</v>
      </c>
      <c r="K58" s="1">
        <v>40</v>
      </c>
      <c r="L58" s="1">
        <v>83.9</v>
      </c>
      <c r="M58" s="1">
        <v>-24.776108600000001</v>
      </c>
      <c r="N58" s="1">
        <v>134.755</v>
      </c>
    </row>
    <row r="59" spans="1:14">
      <c r="A59" s="1">
        <v>58</v>
      </c>
      <c r="B59" s="1" t="s">
        <v>82</v>
      </c>
      <c r="C59" s="1" t="s">
        <v>15</v>
      </c>
      <c r="D59" s="1">
        <v>36</v>
      </c>
      <c r="E59" s="1">
        <v>95</v>
      </c>
      <c r="F59" s="1">
        <v>50</v>
      </c>
      <c r="G59" s="1">
        <v>50</v>
      </c>
      <c r="H59" s="1">
        <v>186</v>
      </c>
      <c r="I59" s="1">
        <v>125</v>
      </c>
      <c r="J59" s="1">
        <v>85</v>
      </c>
      <c r="K59" s="1">
        <v>80</v>
      </c>
      <c r="L59" s="1">
        <v>83.8</v>
      </c>
      <c r="M59" s="1">
        <v>39.783730400000003</v>
      </c>
      <c r="N59" s="1">
        <v>-100.445882</v>
      </c>
    </row>
    <row r="60" spans="1:14">
      <c r="A60" s="1">
        <v>59</v>
      </c>
      <c r="B60" s="1" t="s">
        <v>83</v>
      </c>
      <c r="C60" s="1" t="s">
        <v>15</v>
      </c>
      <c r="D60" s="1">
        <v>37</v>
      </c>
      <c r="E60" s="1">
        <v>264</v>
      </c>
      <c r="F60" s="1">
        <v>1001</v>
      </c>
      <c r="G60" s="1">
        <v>42</v>
      </c>
      <c r="H60" s="1">
        <v>133</v>
      </c>
      <c r="I60" s="1">
        <v>97</v>
      </c>
      <c r="J60" s="1">
        <v>64</v>
      </c>
      <c r="K60" s="1">
        <v>57</v>
      </c>
      <c r="L60" s="1">
        <v>83.8</v>
      </c>
      <c r="M60" s="1">
        <v>39.783730400000003</v>
      </c>
      <c r="N60" s="1">
        <v>-100.445882</v>
      </c>
    </row>
    <row r="61" spans="1:14">
      <c r="A61" s="1">
        <v>60</v>
      </c>
      <c r="B61" s="1" t="s">
        <v>84</v>
      </c>
      <c r="C61" s="1" t="s">
        <v>85</v>
      </c>
      <c r="D61" s="1">
        <v>1</v>
      </c>
      <c r="E61" s="1">
        <v>667</v>
      </c>
      <c r="F61" s="1">
        <v>20</v>
      </c>
      <c r="G61" s="1">
        <v>304</v>
      </c>
      <c r="H61" s="1">
        <v>19</v>
      </c>
      <c r="I61" s="1">
        <v>39</v>
      </c>
      <c r="J61" s="1">
        <v>146</v>
      </c>
      <c r="K61" s="1">
        <v>129</v>
      </c>
      <c r="L61" s="1">
        <v>83.7</v>
      </c>
      <c r="M61" s="1">
        <v>36.638392000000003</v>
      </c>
      <c r="N61" s="1">
        <v>127.69611879999999</v>
      </c>
    </row>
    <row r="62" spans="1:14">
      <c r="A62" s="1">
        <v>61</v>
      </c>
      <c r="B62" s="1" t="s">
        <v>86</v>
      </c>
      <c r="C62" s="1" t="s">
        <v>66</v>
      </c>
      <c r="D62" s="1">
        <v>2</v>
      </c>
      <c r="E62" s="1">
        <v>19</v>
      </c>
      <c r="F62" s="1">
        <v>400</v>
      </c>
      <c r="G62" s="1">
        <v>15</v>
      </c>
      <c r="H62" s="1">
        <v>177</v>
      </c>
      <c r="I62" s="1">
        <v>143</v>
      </c>
      <c r="J62" s="1">
        <v>122</v>
      </c>
      <c r="K62" s="1">
        <v>405</v>
      </c>
      <c r="L62" s="1">
        <v>83.6</v>
      </c>
      <c r="M62" s="1">
        <v>39.3181528</v>
      </c>
      <c r="N62" s="1">
        <v>-79.810901400000006</v>
      </c>
    </row>
    <row r="63" spans="1:14">
      <c r="A63" s="1">
        <v>62</v>
      </c>
      <c r="B63" s="1" t="s">
        <v>87</v>
      </c>
      <c r="C63" s="1" t="s">
        <v>15</v>
      </c>
      <c r="D63" s="1">
        <v>38</v>
      </c>
      <c r="E63" s="1">
        <v>472</v>
      </c>
      <c r="F63" s="1">
        <v>485</v>
      </c>
      <c r="G63" s="1">
        <v>113</v>
      </c>
      <c r="H63" s="1">
        <v>40</v>
      </c>
      <c r="I63" s="1">
        <v>44</v>
      </c>
      <c r="J63" s="1">
        <v>90</v>
      </c>
      <c r="K63" s="1">
        <v>43</v>
      </c>
      <c r="L63" s="1">
        <v>83.6</v>
      </c>
      <c r="M63" s="1">
        <v>39.783730400000003</v>
      </c>
      <c r="N63" s="1">
        <v>-100.445882</v>
      </c>
    </row>
    <row r="64" spans="1:14">
      <c r="A64" s="1">
        <v>63</v>
      </c>
      <c r="B64" s="1" t="s">
        <v>88</v>
      </c>
      <c r="C64" s="1" t="s">
        <v>15</v>
      </c>
      <c r="D64" s="1">
        <v>39</v>
      </c>
      <c r="E64" s="1">
        <v>96</v>
      </c>
      <c r="F64" s="1">
        <v>83</v>
      </c>
      <c r="G64" s="1">
        <v>58</v>
      </c>
      <c r="H64" s="1">
        <v>94</v>
      </c>
      <c r="I64" s="1">
        <v>93</v>
      </c>
      <c r="J64" s="1">
        <v>106</v>
      </c>
      <c r="K64" s="1">
        <v>129</v>
      </c>
      <c r="L64" s="1">
        <v>83.5</v>
      </c>
      <c r="M64" s="1">
        <v>39.783730400000003</v>
      </c>
      <c r="N64" s="1">
        <v>-100.445882</v>
      </c>
    </row>
    <row r="65" spans="1:14">
      <c r="A65" s="1">
        <v>64</v>
      </c>
      <c r="B65" s="1" t="s">
        <v>89</v>
      </c>
      <c r="C65" s="1" t="s">
        <v>15</v>
      </c>
      <c r="D65" s="1">
        <v>40</v>
      </c>
      <c r="E65" s="1">
        <v>148</v>
      </c>
      <c r="F65" s="1">
        <v>91</v>
      </c>
      <c r="G65" s="1">
        <v>140</v>
      </c>
      <c r="H65" s="1">
        <v>95</v>
      </c>
      <c r="I65" s="1">
        <v>63</v>
      </c>
      <c r="J65" s="1">
        <v>57</v>
      </c>
      <c r="K65" s="1">
        <v>45</v>
      </c>
      <c r="L65" s="1">
        <v>83.4</v>
      </c>
      <c r="M65" s="1">
        <v>39.783730400000003</v>
      </c>
      <c r="N65" s="1">
        <v>-100.445882</v>
      </c>
    </row>
    <row r="66" spans="1:14">
      <c r="A66" s="1">
        <v>65</v>
      </c>
      <c r="B66" s="1" t="s">
        <v>90</v>
      </c>
      <c r="C66" s="1" t="s">
        <v>19</v>
      </c>
      <c r="D66" s="1">
        <v>7</v>
      </c>
      <c r="E66" s="1">
        <v>186</v>
      </c>
      <c r="F66" s="1">
        <v>296</v>
      </c>
      <c r="G66" s="1">
        <v>48</v>
      </c>
      <c r="H66" s="1">
        <v>126</v>
      </c>
      <c r="I66" s="1">
        <v>100</v>
      </c>
      <c r="J66" s="1">
        <v>67</v>
      </c>
      <c r="K66" s="1">
        <v>85</v>
      </c>
      <c r="L66" s="1">
        <v>83.4</v>
      </c>
      <c r="M66" s="1">
        <v>54.702354499999998</v>
      </c>
      <c r="N66" s="1">
        <v>-3.2765753000000002</v>
      </c>
    </row>
    <row r="67" spans="1:14">
      <c r="A67" s="1">
        <v>66</v>
      </c>
      <c r="B67" s="1" t="s">
        <v>91</v>
      </c>
      <c r="C67" s="1" t="s">
        <v>15</v>
      </c>
      <c r="D67" s="1">
        <v>41</v>
      </c>
      <c r="E67" s="1">
        <v>33</v>
      </c>
      <c r="F67" s="1">
        <v>1001</v>
      </c>
      <c r="G67" s="1">
        <v>39</v>
      </c>
      <c r="H67" s="1">
        <v>244</v>
      </c>
      <c r="I67" s="1">
        <v>151</v>
      </c>
      <c r="J67" s="1">
        <v>34</v>
      </c>
      <c r="K67" s="1">
        <v>187</v>
      </c>
      <c r="L67" s="1">
        <v>83.3</v>
      </c>
      <c r="M67" s="1">
        <v>39.783730400000003</v>
      </c>
      <c r="N67" s="1">
        <v>-100.445882</v>
      </c>
    </row>
    <row r="68" spans="1:14">
      <c r="A68" s="1">
        <v>67</v>
      </c>
      <c r="B68" s="1" t="s">
        <v>92</v>
      </c>
      <c r="C68" s="1" t="s">
        <v>93</v>
      </c>
      <c r="D68" s="1">
        <v>1</v>
      </c>
      <c r="E68" s="1">
        <v>117</v>
      </c>
      <c r="F68" s="1">
        <v>486</v>
      </c>
      <c r="G68" s="1">
        <v>34</v>
      </c>
      <c r="H68" s="1">
        <v>61</v>
      </c>
      <c r="I68" s="1">
        <v>103</v>
      </c>
      <c r="J68" s="1">
        <v>195</v>
      </c>
      <c r="K68" s="1">
        <v>71</v>
      </c>
      <c r="L68" s="1">
        <v>83.2</v>
      </c>
      <c r="M68" s="1">
        <v>42.638426099999997</v>
      </c>
      <c r="N68" s="1">
        <v>12.674296999999999</v>
      </c>
    </row>
    <row r="69" spans="1:14">
      <c r="A69" s="1">
        <v>68</v>
      </c>
      <c r="B69" s="1" t="s">
        <v>94</v>
      </c>
      <c r="C69" s="1" t="s">
        <v>19</v>
      </c>
      <c r="D69" s="1">
        <v>8</v>
      </c>
      <c r="E69" s="1">
        <v>43</v>
      </c>
      <c r="F69" s="1">
        <v>341</v>
      </c>
      <c r="G69" s="1">
        <v>110</v>
      </c>
      <c r="H69" s="1">
        <v>88</v>
      </c>
      <c r="I69" s="1">
        <v>65</v>
      </c>
      <c r="J69" s="1">
        <v>79</v>
      </c>
      <c r="K69" s="1">
        <v>72</v>
      </c>
      <c r="L69" s="1">
        <v>83.2</v>
      </c>
      <c r="M69" s="1">
        <v>54.702354499999998</v>
      </c>
      <c r="N69" s="1">
        <v>-3.2765753000000002</v>
      </c>
    </row>
    <row r="70" spans="1:14">
      <c r="A70" s="1">
        <v>69</v>
      </c>
      <c r="B70" s="1" t="s">
        <v>95</v>
      </c>
      <c r="C70" s="1" t="s">
        <v>46</v>
      </c>
      <c r="D70" s="1">
        <v>3</v>
      </c>
      <c r="E70" s="1">
        <v>267</v>
      </c>
      <c r="F70" s="1">
        <v>771</v>
      </c>
      <c r="G70" s="1">
        <v>108</v>
      </c>
      <c r="H70" s="1">
        <v>80</v>
      </c>
      <c r="I70" s="1">
        <v>70</v>
      </c>
      <c r="J70" s="1">
        <v>49</v>
      </c>
      <c r="K70" s="1">
        <v>51</v>
      </c>
      <c r="L70" s="1">
        <v>83.1</v>
      </c>
      <c r="M70" s="1">
        <v>46.798562400000002</v>
      </c>
      <c r="N70" s="1">
        <v>8.2319735999999999</v>
      </c>
    </row>
    <row r="71" spans="1:14">
      <c r="A71" s="1">
        <v>70</v>
      </c>
      <c r="B71" s="1" t="s">
        <v>96</v>
      </c>
      <c r="C71" s="1" t="s">
        <v>15</v>
      </c>
      <c r="D71" s="1">
        <v>42</v>
      </c>
      <c r="E71" s="1">
        <v>149</v>
      </c>
      <c r="F71" s="1">
        <v>596</v>
      </c>
      <c r="G71" s="1">
        <v>25</v>
      </c>
      <c r="H71" s="1">
        <v>229</v>
      </c>
      <c r="I71" s="1">
        <v>146</v>
      </c>
      <c r="J71" s="1">
        <v>80</v>
      </c>
      <c r="K71" s="1">
        <v>63</v>
      </c>
      <c r="L71" s="1">
        <v>83</v>
      </c>
      <c r="M71" s="1">
        <v>39.783730400000003</v>
      </c>
      <c r="N71" s="1">
        <v>-100.445882</v>
      </c>
    </row>
    <row r="72" spans="1:14">
      <c r="A72" s="1">
        <v>71</v>
      </c>
      <c r="B72" s="1" t="s">
        <v>97</v>
      </c>
      <c r="C72" s="1" t="s">
        <v>81</v>
      </c>
      <c r="D72" s="1">
        <v>2</v>
      </c>
      <c r="E72" s="1">
        <v>231</v>
      </c>
      <c r="F72" s="1">
        <v>590</v>
      </c>
      <c r="G72" s="1">
        <v>208</v>
      </c>
      <c r="H72" s="1">
        <v>27</v>
      </c>
      <c r="I72" s="1">
        <v>33</v>
      </c>
      <c r="J72" s="1">
        <v>71</v>
      </c>
      <c r="K72" s="1">
        <v>46</v>
      </c>
      <c r="L72" s="1">
        <v>83</v>
      </c>
      <c r="M72" s="1">
        <v>-24.776108600000001</v>
      </c>
      <c r="N72" s="1">
        <v>134.755</v>
      </c>
    </row>
    <row r="73" spans="1:14">
      <c r="A73" s="1">
        <v>72</v>
      </c>
      <c r="B73" s="1" t="s">
        <v>98</v>
      </c>
      <c r="C73" s="1" t="s">
        <v>99</v>
      </c>
      <c r="D73" s="1">
        <v>1</v>
      </c>
      <c r="E73" s="1">
        <v>122</v>
      </c>
      <c r="F73" s="1">
        <v>352</v>
      </c>
      <c r="G73" s="1">
        <v>137</v>
      </c>
      <c r="H73" s="1">
        <v>58</v>
      </c>
      <c r="I73" s="1">
        <v>43</v>
      </c>
      <c r="J73" s="1">
        <v>56</v>
      </c>
      <c r="K73" s="1">
        <v>66</v>
      </c>
      <c r="L73" s="1">
        <v>82.9</v>
      </c>
      <c r="M73" s="1">
        <v>52.243497900000001</v>
      </c>
      <c r="N73" s="1">
        <v>5.6343227000000002</v>
      </c>
    </row>
    <row r="74" spans="1:14">
      <c r="A74" s="1">
        <v>73</v>
      </c>
      <c r="B74" s="1" t="s">
        <v>100</v>
      </c>
      <c r="C74" s="1" t="s">
        <v>15</v>
      </c>
      <c r="D74" s="1">
        <v>43</v>
      </c>
      <c r="E74" s="1">
        <v>187</v>
      </c>
      <c r="F74" s="1">
        <v>233</v>
      </c>
      <c r="G74" s="1">
        <v>304</v>
      </c>
      <c r="H74" s="1">
        <v>34</v>
      </c>
      <c r="I74" s="1">
        <v>25</v>
      </c>
      <c r="J74" s="1">
        <v>47</v>
      </c>
      <c r="K74" s="1">
        <v>18</v>
      </c>
      <c r="L74" s="1">
        <v>82.9</v>
      </c>
      <c r="M74" s="1">
        <v>39.783730400000003</v>
      </c>
      <c r="N74" s="1">
        <v>-100.445882</v>
      </c>
    </row>
    <row r="75" spans="1:14">
      <c r="A75" s="1">
        <v>74</v>
      </c>
      <c r="B75" s="1" t="s">
        <v>101</v>
      </c>
      <c r="C75" s="1" t="s">
        <v>81</v>
      </c>
      <c r="D75" s="1">
        <v>3</v>
      </c>
      <c r="E75" s="1">
        <v>310</v>
      </c>
      <c r="F75" s="1">
        <v>541</v>
      </c>
      <c r="G75" s="1">
        <v>181</v>
      </c>
      <c r="H75" s="1">
        <v>46</v>
      </c>
      <c r="I75" s="1">
        <v>51</v>
      </c>
      <c r="J75" s="1">
        <v>63</v>
      </c>
      <c r="K75" s="1">
        <v>53</v>
      </c>
      <c r="L75" s="1">
        <v>82.8</v>
      </c>
      <c r="M75" s="1">
        <v>-24.776108600000001</v>
      </c>
      <c r="N75" s="1">
        <v>134.755</v>
      </c>
    </row>
    <row r="76" spans="1:14">
      <c r="A76" s="1">
        <v>75</v>
      </c>
      <c r="B76" s="1" t="s">
        <v>102</v>
      </c>
      <c r="C76" s="1" t="s">
        <v>103</v>
      </c>
      <c r="D76" s="1">
        <v>1</v>
      </c>
      <c r="E76" s="1">
        <v>97</v>
      </c>
      <c r="F76" s="1">
        <v>633</v>
      </c>
      <c r="G76" s="1">
        <v>52</v>
      </c>
      <c r="H76" s="1">
        <v>99</v>
      </c>
      <c r="I76" s="1">
        <v>102</v>
      </c>
      <c r="J76" s="1">
        <v>112</v>
      </c>
      <c r="K76" s="1">
        <v>93</v>
      </c>
      <c r="L76" s="1">
        <v>82.8</v>
      </c>
      <c r="M76" s="1">
        <v>64.573153700000006</v>
      </c>
      <c r="N76" s="2" t="s">
        <v>104</v>
      </c>
    </row>
    <row r="77" spans="1:14">
      <c r="A77" s="1">
        <v>76</v>
      </c>
      <c r="B77" s="1" t="s">
        <v>105</v>
      </c>
      <c r="C77" s="1" t="s">
        <v>15</v>
      </c>
      <c r="D77" s="1">
        <v>44</v>
      </c>
      <c r="E77" s="1">
        <v>15</v>
      </c>
      <c r="F77" s="1">
        <v>1001</v>
      </c>
      <c r="G77" s="1">
        <v>14</v>
      </c>
      <c r="H77" s="1">
        <v>786</v>
      </c>
      <c r="I77" s="1">
        <v>434</v>
      </c>
      <c r="J77" s="1">
        <v>32</v>
      </c>
      <c r="K77" s="1">
        <v>275</v>
      </c>
      <c r="L77" s="1">
        <v>82.7</v>
      </c>
      <c r="M77" s="1">
        <v>39.783730400000003</v>
      </c>
      <c r="N77" s="1">
        <v>-100.445882</v>
      </c>
    </row>
    <row r="78" spans="1:14">
      <c r="A78" s="1">
        <v>77</v>
      </c>
      <c r="B78" s="1" t="s">
        <v>106</v>
      </c>
      <c r="C78" s="1" t="s">
        <v>107</v>
      </c>
      <c r="D78" s="1">
        <v>1</v>
      </c>
      <c r="E78" s="1">
        <v>583</v>
      </c>
      <c r="F78" s="1">
        <v>256</v>
      </c>
      <c r="G78" s="1">
        <v>109</v>
      </c>
      <c r="H78" s="1">
        <v>4</v>
      </c>
      <c r="I78" s="1">
        <v>60</v>
      </c>
      <c r="J78" s="1">
        <v>162</v>
      </c>
      <c r="K78" s="1">
        <v>139</v>
      </c>
      <c r="L78" s="1">
        <v>82.6</v>
      </c>
      <c r="M78" s="1">
        <v>-10.3333333</v>
      </c>
      <c r="N78" s="1">
        <v>-53.2</v>
      </c>
    </row>
    <row r="79" spans="1:14">
      <c r="A79" s="1">
        <v>78</v>
      </c>
      <c r="B79" s="1" t="s">
        <v>108</v>
      </c>
      <c r="C79" s="1" t="s">
        <v>15</v>
      </c>
      <c r="D79" s="1">
        <v>45</v>
      </c>
      <c r="E79" s="1">
        <v>625</v>
      </c>
      <c r="F79" s="1">
        <v>183</v>
      </c>
      <c r="G79" s="1">
        <v>57</v>
      </c>
      <c r="H79" s="1">
        <v>85</v>
      </c>
      <c r="I79" s="1">
        <v>95</v>
      </c>
      <c r="J79" s="1">
        <v>133</v>
      </c>
      <c r="K79" s="1">
        <v>101</v>
      </c>
      <c r="L79" s="1">
        <v>82.6</v>
      </c>
      <c r="M79" s="1">
        <v>39.783730400000003</v>
      </c>
      <c r="N79" s="1">
        <v>-100.445882</v>
      </c>
    </row>
    <row r="80" spans="1:14">
      <c r="A80" s="1">
        <v>79</v>
      </c>
      <c r="B80" s="1" t="s">
        <v>109</v>
      </c>
      <c r="C80" s="1" t="s">
        <v>15</v>
      </c>
      <c r="D80" s="1">
        <v>46</v>
      </c>
      <c r="E80" s="1">
        <v>271</v>
      </c>
      <c r="F80" s="1">
        <v>31</v>
      </c>
      <c r="G80" s="1">
        <v>168</v>
      </c>
      <c r="H80" s="1">
        <v>151</v>
      </c>
      <c r="I80" s="1">
        <v>116</v>
      </c>
      <c r="J80" s="1">
        <v>95</v>
      </c>
      <c r="K80" s="1">
        <v>85</v>
      </c>
      <c r="L80" s="1">
        <v>82.5</v>
      </c>
      <c r="M80" s="1">
        <v>39.783730400000003</v>
      </c>
      <c r="N80" s="1">
        <v>-100.445882</v>
      </c>
    </row>
    <row r="81" spans="1:14">
      <c r="A81" s="1">
        <v>80</v>
      </c>
      <c r="B81" s="1" t="s">
        <v>110</v>
      </c>
      <c r="C81" s="1" t="s">
        <v>15</v>
      </c>
      <c r="D81" s="1">
        <v>47</v>
      </c>
      <c r="E81" s="1">
        <v>667</v>
      </c>
      <c r="F81" s="1">
        <v>197</v>
      </c>
      <c r="G81" s="1">
        <v>164</v>
      </c>
      <c r="H81" s="1">
        <v>101</v>
      </c>
      <c r="I81" s="1">
        <v>66</v>
      </c>
      <c r="J81" s="1">
        <v>55</v>
      </c>
      <c r="K81" s="1">
        <v>63</v>
      </c>
      <c r="L81" s="1">
        <v>82.5</v>
      </c>
      <c r="M81" s="1">
        <v>39.783730400000003</v>
      </c>
      <c r="N81" s="1">
        <v>-100.445882</v>
      </c>
    </row>
    <row r="82" spans="1:14">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row>
    <row r="83" spans="1:14">
      <c r="A83" s="1">
        <v>82</v>
      </c>
      <c r="B83" s="1" t="s">
        <v>112</v>
      </c>
      <c r="C83" s="1" t="s">
        <v>81</v>
      </c>
      <c r="D83" s="1">
        <v>4</v>
      </c>
      <c r="E83" s="1">
        <v>188</v>
      </c>
      <c r="F83" s="1">
        <v>666</v>
      </c>
      <c r="G83" s="1">
        <v>37</v>
      </c>
      <c r="H83" s="1">
        <v>153</v>
      </c>
      <c r="I83" s="1">
        <v>136</v>
      </c>
      <c r="J83" s="1">
        <v>101</v>
      </c>
      <c r="K83" s="1">
        <v>121</v>
      </c>
      <c r="L83" s="1">
        <v>82.4</v>
      </c>
      <c r="M83" s="1">
        <v>-24.776108600000001</v>
      </c>
      <c r="N83" s="1">
        <v>134.755</v>
      </c>
    </row>
    <row r="84" spans="1:14">
      <c r="A84" s="1">
        <v>83</v>
      </c>
      <c r="B84" s="1" t="s">
        <v>113</v>
      </c>
      <c r="C84" s="1" t="s">
        <v>15</v>
      </c>
      <c r="D84" s="1">
        <v>48</v>
      </c>
      <c r="E84" s="1">
        <v>169</v>
      </c>
      <c r="F84" s="1">
        <v>187</v>
      </c>
      <c r="G84" s="1">
        <v>80</v>
      </c>
      <c r="H84" s="1">
        <v>125</v>
      </c>
      <c r="I84" s="1">
        <v>105</v>
      </c>
      <c r="J84" s="1">
        <v>68</v>
      </c>
      <c r="K84" s="1">
        <v>93</v>
      </c>
      <c r="L84" s="1">
        <v>82.3</v>
      </c>
      <c r="M84" s="1">
        <v>39.783730400000003</v>
      </c>
      <c r="N84" s="1">
        <v>-100.445882</v>
      </c>
    </row>
    <row r="85" spans="1:14">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row>
    <row r="86" spans="1:14">
      <c r="A86" s="1">
        <v>85</v>
      </c>
      <c r="B86" s="1" t="s">
        <v>115</v>
      </c>
      <c r="C86" s="1" t="s">
        <v>66</v>
      </c>
      <c r="D86" s="1">
        <v>3</v>
      </c>
      <c r="E86" s="1">
        <v>105</v>
      </c>
      <c r="F86" s="1">
        <v>143</v>
      </c>
      <c r="G86" s="1">
        <v>59</v>
      </c>
      <c r="H86" s="1">
        <v>108</v>
      </c>
      <c r="I86" s="1">
        <v>115</v>
      </c>
      <c r="J86" s="1">
        <v>129</v>
      </c>
      <c r="K86" s="1">
        <v>151</v>
      </c>
      <c r="L86" s="1">
        <v>82.2</v>
      </c>
      <c r="M86" s="1">
        <v>39.3181528</v>
      </c>
      <c r="N86" s="1">
        <v>-79.810901400000006</v>
      </c>
    </row>
    <row r="87" spans="1:14">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row>
    <row r="88" spans="1:14">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row>
    <row r="89" spans="1:14">
      <c r="A89" s="1">
        <v>88</v>
      </c>
      <c r="B89" s="1" t="s">
        <v>119</v>
      </c>
      <c r="C89" s="1" t="s">
        <v>59</v>
      </c>
      <c r="D89" s="1">
        <v>2</v>
      </c>
      <c r="E89" s="1">
        <v>589</v>
      </c>
      <c r="F89" s="1">
        <v>379</v>
      </c>
      <c r="G89" s="1">
        <v>114</v>
      </c>
      <c r="H89" s="1">
        <v>83</v>
      </c>
      <c r="I89" s="1">
        <v>79</v>
      </c>
      <c r="J89" s="1">
        <v>78</v>
      </c>
      <c r="K89" s="1">
        <v>121</v>
      </c>
      <c r="L89" s="1">
        <v>82.1</v>
      </c>
      <c r="M89" s="1">
        <v>55.670248999999998</v>
      </c>
      <c r="N89" s="1">
        <v>10.3333283</v>
      </c>
    </row>
    <row r="90" spans="1:14">
      <c r="A90" s="1">
        <v>89</v>
      </c>
      <c r="B90" s="1" t="s">
        <v>120</v>
      </c>
      <c r="C90" s="1" t="s">
        <v>15</v>
      </c>
      <c r="D90" s="1">
        <v>49</v>
      </c>
      <c r="E90" s="1">
        <v>667</v>
      </c>
      <c r="F90" s="1">
        <v>1001</v>
      </c>
      <c r="G90" s="1">
        <v>91</v>
      </c>
      <c r="H90" s="1">
        <v>158</v>
      </c>
      <c r="I90" s="1">
        <v>104</v>
      </c>
      <c r="J90" s="1">
        <v>70</v>
      </c>
      <c r="K90" s="1">
        <v>66</v>
      </c>
      <c r="L90" s="1">
        <v>82</v>
      </c>
      <c r="M90" s="1">
        <v>39.783730400000003</v>
      </c>
      <c r="N90" s="1">
        <v>-100.445882</v>
      </c>
    </row>
    <row r="91" spans="1:14">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row>
    <row r="92" spans="1:14">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row>
    <row r="93" spans="1:14">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row>
    <row r="94" spans="1:14">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row>
    <row r="95" spans="1:14">
      <c r="A95" s="1">
        <v>94</v>
      </c>
      <c r="B95" s="1" t="s">
        <v>127</v>
      </c>
      <c r="C95" s="1" t="s">
        <v>15</v>
      </c>
      <c r="D95" s="1">
        <v>51</v>
      </c>
      <c r="E95" s="1">
        <v>667</v>
      </c>
      <c r="F95" s="1">
        <v>1001</v>
      </c>
      <c r="G95" s="1">
        <v>141</v>
      </c>
      <c r="H95" s="1">
        <v>161</v>
      </c>
      <c r="I95" s="1">
        <v>118</v>
      </c>
      <c r="J95" s="1">
        <v>38</v>
      </c>
      <c r="K95" s="1">
        <v>53</v>
      </c>
      <c r="L95" s="1">
        <v>81.8</v>
      </c>
      <c r="M95" s="1">
        <v>39.783730400000003</v>
      </c>
      <c r="N95" s="1">
        <v>-100.445882</v>
      </c>
    </row>
    <row r="96" spans="1:14">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row>
    <row r="97" spans="1:14">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20B4-B261-4BEC-81F0-E4BBB24FB5A8}">
  <sheetPr>
    <tabColor theme="3" tint="-0.499984740745262"/>
  </sheetPr>
  <dimension ref="A1:P115"/>
  <sheetViews>
    <sheetView topLeftCell="A106" workbookViewId="0">
      <selection activeCell="L101" sqref="L101"/>
    </sheetView>
  </sheetViews>
  <sheetFormatPr defaultRowHeight="15"/>
  <cols>
    <col min="1" max="1" width="22" customWidth="1"/>
    <col min="2" max="2" width="16.28515625" bestFit="1"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2" max="12" width="15.7109375" customWidth="1"/>
    <col min="13" max="13" width="23.140625" bestFit="1" customWidth="1"/>
    <col min="14" max="14" width="13.5703125" customWidth="1"/>
    <col min="15" max="15" width="11.140625" customWidth="1"/>
    <col min="16" max="16" width="9.85546875" customWidth="1"/>
    <col min="17" max="17" width="25.140625" bestFit="1" customWidth="1"/>
    <col min="18" max="18" width="23.140625" bestFit="1" customWidth="1"/>
    <col min="19" max="19" width="31" bestFit="1" customWidth="1"/>
    <col min="20" max="24" width="5" bestFit="1" customWidth="1"/>
    <col min="25" max="26" width="3" bestFit="1" customWidth="1"/>
    <col min="27" max="31" width="5" bestFit="1" customWidth="1"/>
    <col min="32" max="32" width="3" bestFit="1" customWidth="1"/>
    <col min="33" max="33" width="5" bestFit="1" customWidth="1"/>
    <col min="34" max="34" width="3" bestFit="1" customWidth="1"/>
    <col min="35" max="36" width="5" bestFit="1" customWidth="1"/>
    <col min="37" max="37" width="3" bestFit="1" customWidth="1"/>
    <col min="38" max="57" width="5" bestFit="1" customWidth="1"/>
    <col min="58" max="58" width="3" bestFit="1" customWidth="1"/>
    <col min="59" max="59" width="5" bestFit="1" customWidth="1"/>
    <col min="60" max="60" width="3" bestFit="1" customWidth="1"/>
    <col min="61" max="72" width="5" bestFit="1" customWidth="1"/>
    <col min="73" max="73" width="3" bestFit="1" customWidth="1"/>
    <col min="74" max="74" width="5" bestFit="1" customWidth="1"/>
    <col min="75" max="75" width="4" bestFit="1" customWidth="1"/>
    <col min="76" max="80" width="5" bestFit="1" customWidth="1"/>
    <col min="81" max="81" width="4" bestFit="1" customWidth="1"/>
    <col min="82" max="90" width="5" bestFit="1" customWidth="1"/>
    <col min="91" max="91" width="6" bestFit="1" customWidth="1"/>
    <col min="92" max="92" width="5" bestFit="1" customWidth="1"/>
    <col min="93" max="93" width="4" bestFit="1" customWidth="1"/>
    <col min="94" max="94" width="6" bestFit="1" customWidth="1"/>
    <col min="95" max="95" width="11.28515625" bestFit="1" customWidth="1"/>
    <col min="96" max="96" width="12.42578125" bestFit="1" customWidth="1"/>
    <col min="97" max="97" width="20.140625" bestFit="1" customWidth="1"/>
    <col min="98" max="98" width="12.42578125" bestFit="1" customWidth="1"/>
    <col min="99" max="99" width="20.140625" bestFit="1" customWidth="1"/>
    <col min="100" max="100" width="12.42578125" bestFit="1" customWidth="1"/>
    <col min="101" max="101" width="20.140625" bestFit="1" customWidth="1"/>
    <col min="102" max="102" width="12.42578125" bestFit="1" customWidth="1"/>
    <col min="103" max="103" width="20.140625" bestFit="1" customWidth="1"/>
    <col min="104" max="104" width="12.42578125" bestFit="1" customWidth="1"/>
    <col min="105" max="105" width="20.140625" bestFit="1" customWidth="1"/>
    <col min="106" max="106" width="12.42578125" bestFit="1" customWidth="1"/>
    <col min="107" max="107" width="20.140625" bestFit="1" customWidth="1"/>
    <col min="108" max="108" width="12.42578125" bestFit="1" customWidth="1"/>
    <col min="109" max="109" width="20.140625" bestFit="1" customWidth="1"/>
    <col min="110" max="110" width="12.42578125" bestFit="1" customWidth="1"/>
    <col min="111" max="111" width="20.140625" bestFit="1" customWidth="1"/>
    <col min="112" max="112" width="12.42578125" bestFit="1" customWidth="1"/>
    <col min="113" max="113" width="20.140625" bestFit="1" customWidth="1"/>
    <col min="114" max="114" width="12.42578125" bestFit="1" customWidth="1"/>
    <col min="115" max="115" width="20.140625" bestFit="1" customWidth="1"/>
    <col min="116" max="116" width="12.42578125" bestFit="1" customWidth="1"/>
    <col min="117" max="117" width="20.140625" bestFit="1" customWidth="1"/>
    <col min="118" max="118" width="12.42578125" bestFit="1" customWidth="1"/>
    <col min="119" max="119" width="20.140625" bestFit="1" customWidth="1"/>
    <col min="120" max="120" width="12.42578125" bestFit="1" customWidth="1"/>
    <col min="121" max="121" width="20.140625" bestFit="1" customWidth="1"/>
    <col min="122" max="122" width="12.42578125" bestFit="1" customWidth="1"/>
    <col min="123" max="123" width="20.140625" bestFit="1" customWidth="1"/>
    <col min="124" max="124" width="12.42578125" bestFit="1" customWidth="1"/>
    <col min="125" max="125" width="20.140625" bestFit="1" customWidth="1"/>
    <col min="126" max="126" width="12.42578125" bestFit="1" customWidth="1"/>
    <col min="127" max="127" width="20.140625" bestFit="1" customWidth="1"/>
    <col min="128" max="128" width="12.42578125" bestFit="1" customWidth="1"/>
    <col min="129" max="129" width="20.140625" bestFit="1" customWidth="1"/>
    <col min="130" max="130" width="12.42578125" bestFit="1" customWidth="1"/>
    <col min="131" max="131" width="20.140625" bestFit="1" customWidth="1"/>
    <col min="132" max="132" width="12.42578125" bestFit="1" customWidth="1"/>
    <col min="133" max="133" width="20.140625" bestFit="1" customWidth="1"/>
    <col min="134" max="134" width="12.42578125" bestFit="1" customWidth="1"/>
    <col min="135" max="135" width="20.140625" bestFit="1" customWidth="1"/>
    <col min="136" max="136" width="12.42578125" bestFit="1" customWidth="1"/>
    <col min="137" max="137" width="20.140625" bestFit="1" customWidth="1"/>
    <col min="138" max="138" width="12.42578125" bestFit="1" customWidth="1"/>
    <col min="139" max="139" width="20.140625" bestFit="1" customWidth="1"/>
    <col min="140" max="140" width="12.42578125" bestFit="1" customWidth="1"/>
    <col min="141" max="141" width="20.140625" bestFit="1" customWidth="1"/>
    <col min="142" max="142" width="12.42578125" bestFit="1" customWidth="1"/>
    <col min="143" max="143" width="20.140625" bestFit="1" customWidth="1"/>
    <col min="144" max="144" width="12.42578125" bestFit="1" customWidth="1"/>
    <col min="145" max="145" width="20.140625" bestFit="1" customWidth="1"/>
    <col min="146" max="146" width="12.42578125" bestFit="1" customWidth="1"/>
    <col min="147" max="147" width="20.140625" bestFit="1" customWidth="1"/>
    <col min="148" max="148" width="12.42578125" bestFit="1" customWidth="1"/>
    <col min="149" max="149" width="20.140625" bestFit="1" customWidth="1"/>
    <col min="150" max="150" width="12.42578125" bestFit="1" customWidth="1"/>
    <col min="151" max="151" width="20.140625" bestFit="1" customWidth="1"/>
    <col min="152" max="152" width="12.42578125" bestFit="1" customWidth="1"/>
    <col min="153" max="153" width="20.140625" bestFit="1" customWidth="1"/>
    <col min="154" max="154" width="12.42578125" bestFit="1" customWidth="1"/>
    <col min="155" max="155" width="20.140625" bestFit="1" customWidth="1"/>
    <col min="156" max="156" width="12.42578125" bestFit="1" customWidth="1"/>
    <col min="157" max="157" width="20.140625" bestFit="1" customWidth="1"/>
    <col min="158" max="158" width="12.42578125" bestFit="1" customWidth="1"/>
    <col min="159" max="159" width="20.140625" bestFit="1" customWidth="1"/>
    <col min="160" max="160" width="12.42578125" bestFit="1" customWidth="1"/>
    <col min="161" max="161" width="20.140625" bestFit="1" customWidth="1"/>
    <col min="162" max="162" width="12.42578125" bestFit="1" customWidth="1"/>
    <col min="163" max="163" width="20.140625" bestFit="1" customWidth="1"/>
    <col min="164" max="164" width="12.42578125" bestFit="1" customWidth="1"/>
    <col min="165" max="165" width="20.140625" bestFit="1" customWidth="1"/>
    <col min="166" max="166" width="12.42578125" bestFit="1" customWidth="1"/>
    <col min="167" max="167" width="20.140625" bestFit="1" customWidth="1"/>
    <col min="168" max="168" width="12.42578125" bestFit="1" customWidth="1"/>
    <col min="169" max="169" width="20.140625" bestFit="1" customWidth="1"/>
    <col min="170" max="170" width="12.42578125" bestFit="1" customWidth="1"/>
    <col min="171" max="171" width="20.140625" bestFit="1" customWidth="1"/>
    <col min="172" max="172" width="12.42578125" bestFit="1" customWidth="1"/>
    <col min="173" max="173" width="20.140625" bestFit="1" customWidth="1"/>
    <col min="174" max="174" width="12.42578125" bestFit="1" customWidth="1"/>
    <col min="175" max="175" width="20.140625" bestFit="1" customWidth="1"/>
    <col min="176" max="176" width="12.42578125" bestFit="1" customWidth="1"/>
    <col min="177" max="177" width="20.140625" bestFit="1" customWidth="1"/>
    <col min="178" max="178" width="12.42578125" bestFit="1" customWidth="1"/>
    <col min="179" max="179" width="20.140625" bestFit="1" customWidth="1"/>
    <col min="180" max="180" width="12.42578125" bestFit="1" customWidth="1"/>
    <col min="181" max="181" width="20.140625" bestFit="1" customWidth="1"/>
    <col min="182" max="182" width="12.42578125" bestFit="1" customWidth="1"/>
    <col min="183" max="183" width="20.140625" bestFit="1" customWidth="1"/>
    <col min="184" max="184" width="12.42578125" bestFit="1" customWidth="1"/>
    <col min="185" max="185" width="20.140625" bestFit="1" customWidth="1"/>
    <col min="186" max="186" width="12.42578125" bestFit="1" customWidth="1"/>
    <col min="187" max="187" width="20.140625" bestFit="1" customWidth="1"/>
    <col min="188" max="188" width="17.5703125" bestFit="1" customWidth="1"/>
    <col min="189" max="189" width="25.140625" bestFit="1" customWidth="1"/>
    <col min="190" max="190" width="26" bestFit="1" customWidth="1"/>
    <col min="191" max="191" width="12.42578125" bestFit="1" customWidth="1"/>
    <col min="192" max="192" width="20.140625" bestFit="1" customWidth="1"/>
    <col min="193" max="193" width="26" bestFit="1" customWidth="1"/>
    <col min="194" max="194" width="12.42578125" bestFit="1" customWidth="1"/>
    <col min="195" max="195" width="20.140625" bestFit="1" customWidth="1"/>
    <col min="196" max="196" width="26" bestFit="1" customWidth="1"/>
    <col min="197" max="197" width="12.42578125" bestFit="1" customWidth="1"/>
    <col min="198" max="198" width="20.140625" bestFit="1" customWidth="1"/>
    <col min="199" max="199" width="26" bestFit="1" customWidth="1"/>
    <col min="200" max="200" width="12.42578125" bestFit="1" customWidth="1"/>
    <col min="201" max="201" width="20.140625" bestFit="1" customWidth="1"/>
    <col min="202" max="202" width="26" bestFit="1" customWidth="1"/>
    <col min="203" max="203" width="12.42578125" bestFit="1" customWidth="1"/>
    <col min="204" max="204" width="20.140625" bestFit="1" customWidth="1"/>
    <col min="205" max="205" width="26" bestFit="1" customWidth="1"/>
    <col min="206" max="206" width="12.42578125" bestFit="1" customWidth="1"/>
    <col min="207" max="207" width="20.140625" bestFit="1" customWidth="1"/>
    <col min="208" max="208" width="26" bestFit="1" customWidth="1"/>
    <col min="209" max="209" width="12.42578125" bestFit="1" customWidth="1"/>
    <col min="210" max="210" width="20.140625" bestFit="1" customWidth="1"/>
    <col min="211" max="211" width="26" bestFit="1" customWidth="1"/>
    <col min="212" max="212" width="12.42578125" bestFit="1" customWidth="1"/>
    <col min="213" max="213" width="20.140625" bestFit="1" customWidth="1"/>
    <col min="214" max="214" width="26" bestFit="1" customWidth="1"/>
    <col min="215" max="215" width="12.42578125" bestFit="1" customWidth="1"/>
    <col min="216" max="216" width="20.140625" bestFit="1" customWidth="1"/>
    <col min="217" max="217" width="26" bestFit="1" customWidth="1"/>
    <col min="218" max="218" width="12.42578125" bestFit="1" customWidth="1"/>
    <col min="219" max="219" width="20.140625" bestFit="1" customWidth="1"/>
    <col min="220" max="220" width="26" bestFit="1" customWidth="1"/>
    <col min="221" max="221" width="12.42578125" bestFit="1" customWidth="1"/>
    <col min="222" max="222" width="20.140625" bestFit="1" customWidth="1"/>
    <col min="223" max="223" width="26" bestFit="1" customWidth="1"/>
    <col min="224" max="224" width="12.42578125" bestFit="1" customWidth="1"/>
    <col min="225" max="225" width="20.140625" bestFit="1" customWidth="1"/>
    <col min="226" max="226" width="26" bestFit="1" customWidth="1"/>
    <col min="227" max="227" width="12.42578125" bestFit="1" customWidth="1"/>
    <col min="228" max="228" width="20.140625" bestFit="1" customWidth="1"/>
    <col min="229" max="229" width="26" bestFit="1" customWidth="1"/>
    <col min="230" max="230" width="12.42578125" bestFit="1" customWidth="1"/>
    <col min="231" max="231" width="20.140625" bestFit="1" customWidth="1"/>
    <col min="232" max="232" width="26" bestFit="1" customWidth="1"/>
    <col min="233" max="233" width="12.42578125" bestFit="1" customWidth="1"/>
    <col min="234" max="234" width="20.140625" bestFit="1" customWidth="1"/>
    <col min="235" max="235" width="26" bestFit="1" customWidth="1"/>
    <col min="236" max="236" width="12.42578125" bestFit="1" customWidth="1"/>
    <col min="237" max="237" width="20.140625" bestFit="1" customWidth="1"/>
    <col min="238" max="238" width="26" bestFit="1" customWidth="1"/>
    <col min="239" max="239" width="12.42578125" bestFit="1" customWidth="1"/>
    <col min="240" max="240" width="20.140625" bestFit="1" customWidth="1"/>
    <col min="241" max="241" width="26" bestFit="1" customWidth="1"/>
    <col min="242" max="242" width="12.42578125" bestFit="1" customWidth="1"/>
    <col min="243" max="243" width="20.140625" bestFit="1" customWidth="1"/>
    <col min="244" max="244" width="26" bestFit="1" customWidth="1"/>
    <col min="245" max="245" width="12.42578125" bestFit="1" customWidth="1"/>
    <col min="246" max="246" width="20.140625" bestFit="1" customWidth="1"/>
    <col min="247" max="247" width="26" bestFit="1" customWidth="1"/>
    <col min="248" max="248" width="12.42578125" bestFit="1" customWidth="1"/>
    <col min="249" max="249" width="20.140625" bestFit="1" customWidth="1"/>
    <col min="250" max="250" width="26" bestFit="1" customWidth="1"/>
    <col min="251" max="251" width="12.42578125" bestFit="1" customWidth="1"/>
    <col min="252" max="252" width="20.140625" bestFit="1" customWidth="1"/>
    <col min="253" max="253" width="26" bestFit="1" customWidth="1"/>
    <col min="254" max="254" width="12.42578125" bestFit="1" customWidth="1"/>
    <col min="255" max="255" width="20.140625" bestFit="1" customWidth="1"/>
    <col min="256" max="256" width="26" bestFit="1" customWidth="1"/>
    <col min="257" max="257" width="12.42578125" bestFit="1" customWidth="1"/>
    <col min="258" max="258" width="20.140625" bestFit="1" customWidth="1"/>
    <col min="259" max="259" width="26" bestFit="1" customWidth="1"/>
    <col min="260" max="260" width="12.42578125" bestFit="1" customWidth="1"/>
    <col min="261" max="261" width="20.140625" bestFit="1" customWidth="1"/>
    <col min="262" max="262" width="26" bestFit="1" customWidth="1"/>
    <col min="263" max="263" width="12.42578125" bestFit="1" customWidth="1"/>
    <col min="264" max="264" width="20.140625" bestFit="1" customWidth="1"/>
    <col min="265" max="265" width="26" bestFit="1" customWidth="1"/>
    <col min="266" max="266" width="12.42578125" bestFit="1" customWidth="1"/>
    <col min="267" max="267" width="20.140625" bestFit="1" customWidth="1"/>
    <col min="268" max="268" width="26" bestFit="1" customWidth="1"/>
    <col min="269" max="269" width="12.42578125" bestFit="1" customWidth="1"/>
    <col min="270" max="270" width="20.140625" bestFit="1" customWidth="1"/>
    <col min="271" max="271" width="26" bestFit="1" customWidth="1"/>
    <col min="272" max="272" width="12.42578125" bestFit="1" customWidth="1"/>
    <col min="273" max="273" width="20.140625" bestFit="1" customWidth="1"/>
    <col min="274" max="274" width="26" bestFit="1" customWidth="1"/>
    <col min="275" max="275" width="12.42578125" bestFit="1" customWidth="1"/>
    <col min="276" max="276" width="20.140625" bestFit="1" customWidth="1"/>
    <col min="277" max="277" width="26" bestFit="1" customWidth="1"/>
    <col min="278" max="278" width="12.42578125" bestFit="1" customWidth="1"/>
    <col min="279" max="279" width="20.140625" bestFit="1" customWidth="1"/>
    <col min="280" max="280" width="26" bestFit="1" customWidth="1"/>
    <col min="281" max="281" width="17.5703125" bestFit="1" customWidth="1"/>
    <col min="282" max="282" width="25.140625" bestFit="1" customWidth="1"/>
    <col min="283" max="283" width="31" bestFit="1" customWidth="1"/>
    <col min="284" max="284" width="16.140625" bestFit="1" customWidth="1"/>
    <col min="285" max="285" width="26" bestFit="1" customWidth="1"/>
    <col min="286" max="286" width="12.42578125" bestFit="1" customWidth="1"/>
    <col min="287" max="287" width="20.140625" bestFit="1" customWidth="1"/>
    <col min="288" max="288" width="16.140625" bestFit="1" customWidth="1"/>
    <col min="289" max="289" width="26" bestFit="1" customWidth="1"/>
    <col min="290" max="290" width="12.42578125" bestFit="1" customWidth="1"/>
    <col min="291" max="291" width="20.140625" bestFit="1" customWidth="1"/>
    <col min="292" max="292" width="16.140625" bestFit="1" customWidth="1"/>
    <col min="293" max="293" width="26" bestFit="1" customWidth="1"/>
    <col min="294" max="294" width="12.42578125" bestFit="1" customWidth="1"/>
    <col min="295" max="295" width="20.140625" bestFit="1" customWidth="1"/>
    <col min="296" max="296" width="16.140625" bestFit="1" customWidth="1"/>
    <col min="297" max="297" width="26" bestFit="1" customWidth="1"/>
    <col min="298" max="298" width="12.42578125" bestFit="1" customWidth="1"/>
    <col min="299" max="299" width="20.140625" bestFit="1" customWidth="1"/>
    <col min="300" max="300" width="16.140625" bestFit="1" customWidth="1"/>
    <col min="301" max="301" width="26" bestFit="1" customWidth="1"/>
    <col min="302" max="302" width="12.42578125" bestFit="1" customWidth="1"/>
    <col min="303" max="303" width="20.140625" bestFit="1" customWidth="1"/>
    <col min="304" max="304" width="16.140625" bestFit="1" customWidth="1"/>
    <col min="305" max="305" width="26" bestFit="1" customWidth="1"/>
    <col min="306" max="306" width="12.42578125" bestFit="1" customWidth="1"/>
    <col min="307" max="307" width="20.140625" bestFit="1" customWidth="1"/>
    <col min="308" max="308" width="16.140625" bestFit="1" customWidth="1"/>
    <col min="309" max="309" width="26" bestFit="1" customWidth="1"/>
    <col min="310" max="310" width="12.42578125" bestFit="1" customWidth="1"/>
    <col min="311" max="311" width="20.140625" bestFit="1" customWidth="1"/>
    <col min="312" max="312" width="16.140625" bestFit="1" customWidth="1"/>
    <col min="313" max="313" width="26" bestFit="1" customWidth="1"/>
    <col min="314" max="314" width="12.42578125" bestFit="1" customWidth="1"/>
    <col min="315" max="315" width="20.140625" bestFit="1" customWidth="1"/>
    <col min="316" max="316" width="16.140625" bestFit="1" customWidth="1"/>
    <col min="317" max="317" width="26" bestFit="1" customWidth="1"/>
    <col min="318" max="318" width="12.42578125" bestFit="1" customWidth="1"/>
    <col min="319" max="319" width="20.140625" bestFit="1" customWidth="1"/>
    <col min="320" max="320" width="16.140625" bestFit="1" customWidth="1"/>
    <col min="321" max="321" width="26" bestFit="1" customWidth="1"/>
    <col min="322" max="322" width="12.42578125" bestFit="1" customWidth="1"/>
    <col min="323" max="323" width="20.140625" bestFit="1" customWidth="1"/>
    <col min="324" max="324" width="16.140625" bestFit="1" customWidth="1"/>
    <col min="325" max="325" width="26" bestFit="1" customWidth="1"/>
    <col min="326" max="326" width="12.42578125" bestFit="1" customWidth="1"/>
    <col min="327" max="327" width="20.140625" bestFit="1" customWidth="1"/>
    <col min="328" max="328" width="16.140625" bestFit="1" customWidth="1"/>
    <col min="329" max="329" width="26" bestFit="1" customWidth="1"/>
    <col min="330" max="330" width="12.42578125" bestFit="1" customWidth="1"/>
    <col min="331" max="331" width="20.140625" bestFit="1" customWidth="1"/>
    <col min="332" max="332" width="16.140625" bestFit="1" customWidth="1"/>
    <col min="333" max="333" width="26" bestFit="1" customWidth="1"/>
    <col min="334" max="334" width="12.42578125" bestFit="1" customWidth="1"/>
    <col min="335" max="335" width="20.140625" bestFit="1" customWidth="1"/>
    <col min="336" max="336" width="16.140625" bestFit="1" customWidth="1"/>
    <col min="337" max="337" width="26" bestFit="1" customWidth="1"/>
    <col min="338" max="338" width="12.42578125" bestFit="1" customWidth="1"/>
    <col min="339" max="339" width="20.140625" bestFit="1" customWidth="1"/>
    <col min="340" max="340" width="16.140625" bestFit="1" customWidth="1"/>
    <col min="341" max="341" width="26" bestFit="1" customWidth="1"/>
    <col min="342" max="342" width="12.42578125" bestFit="1" customWidth="1"/>
    <col min="343" max="343" width="20.140625" bestFit="1" customWidth="1"/>
    <col min="344" max="344" width="16.140625" bestFit="1" customWidth="1"/>
    <col min="345" max="345" width="26" bestFit="1" customWidth="1"/>
    <col min="346" max="346" width="12.42578125" bestFit="1" customWidth="1"/>
    <col min="347" max="347" width="20.140625" bestFit="1" customWidth="1"/>
    <col min="348" max="348" width="16.140625" bestFit="1" customWidth="1"/>
    <col min="349" max="349" width="26" bestFit="1" customWidth="1"/>
    <col min="350" max="350" width="12.42578125" bestFit="1" customWidth="1"/>
    <col min="351" max="351" width="20.140625" bestFit="1" customWidth="1"/>
    <col min="352" max="352" width="16.140625" bestFit="1" customWidth="1"/>
    <col min="353" max="353" width="26" bestFit="1" customWidth="1"/>
    <col min="354" max="354" width="12.42578125" bestFit="1" customWidth="1"/>
    <col min="355" max="355" width="20.140625" bestFit="1" customWidth="1"/>
    <col min="356" max="356" width="16.140625" bestFit="1" customWidth="1"/>
    <col min="357" max="357" width="26" bestFit="1" customWidth="1"/>
    <col min="358" max="358" width="12.42578125" bestFit="1" customWidth="1"/>
    <col min="359" max="359" width="20.140625" bestFit="1" customWidth="1"/>
    <col min="360" max="360" width="16.140625" bestFit="1" customWidth="1"/>
    <col min="361" max="361" width="26" bestFit="1" customWidth="1"/>
    <col min="362" max="362" width="12.42578125" bestFit="1" customWidth="1"/>
    <col min="363" max="363" width="20.140625" bestFit="1" customWidth="1"/>
    <col min="364" max="364" width="16.140625" bestFit="1" customWidth="1"/>
    <col min="365" max="365" width="26" bestFit="1" customWidth="1"/>
    <col min="366" max="366" width="12.42578125" bestFit="1" customWidth="1"/>
    <col min="367" max="367" width="20.140625" bestFit="1" customWidth="1"/>
    <col min="368" max="368" width="16.140625" bestFit="1" customWidth="1"/>
    <col min="369" max="369" width="26" bestFit="1" customWidth="1"/>
    <col min="370" max="370" width="12.42578125" bestFit="1" customWidth="1"/>
    <col min="371" max="371" width="20.140625" bestFit="1" customWidth="1"/>
    <col min="372" max="372" width="16.140625" bestFit="1" customWidth="1"/>
    <col min="373" max="373" width="26" bestFit="1" customWidth="1"/>
    <col min="374" max="374" width="17.5703125" bestFit="1" customWidth="1"/>
    <col min="375" max="375" width="25.140625" bestFit="1" customWidth="1"/>
    <col min="376" max="376" width="21.140625" bestFit="1" customWidth="1"/>
    <col min="377" max="377" width="31" bestFit="1" customWidth="1"/>
    <col min="378" max="378" width="12.42578125" bestFit="1" customWidth="1"/>
    <col min="379" max="379" width="20.140625" bestFit="1" customWidth="1"/>
    <col min="380" max="380" width="16.140625" bestFit="1" customWidth="1"/>
    <col min="381" max="381" width="26" bestFit="1" customWidth="1"/>
    <col min="382" max="382" width="15" bestFit="1" customWidth="1"/>
    <col min="383" max="383" width="22.7109375" bestFit="1" customWidth="1"/>
    <col min="384" max="384" width="18.7109375" bestFit="1" customWidth="1"/>
    <col min="385" max="385" width="28.42578125" bestFit="1" customWidth="1"/>
    <col min="386" max="386" width="12.42578125" bestFit="1" customWidth="1"/>
    <col min="387" max="387" width="20.140625" bestFit="1" customWidth="1"/>
    <col min="388" max="388" width="16.140625" bestFit="1" customWidth="1"/>
    <col min="389" max="389" width="26" bestFit="1" customWidth="1"/>
    <col min="390" max="390" width="15" bestFit="1" customWidth="1"/>
    <col min="391" max="391" width="22.7109375" bestFit="1" customWidth="1"/>
    <col min="392" max="392" width="18.7109375" bestFit="1" customWidth="1"/>
    <col min="393" max="393" width="28.42578125" bestFit="1" customWidth="1"/>
    <col min="394" max="394" width="12.42578125" bestFit="1" customWidth="1"/>
    <col min="395" max="395" width="20.140625" bestFit="1" customWidth="1"/>
    <col min="396" max="396" width="16.140625" bestFit="1" customWidth="1"/>
    <col min="397" max="397" width="26" bestFit="1" customWidth="1"/>
    <col min="398" max="398" width="15" bestFit="1" customWidth="1"/>
    <col min="399" max="399" width="22.7109375" bestFit="1" customWidth="1"/>
    <col min="400" max="400" width="18.7109375" bestFit="1" customWidth="1"/>
    <col min="401" max="401" width="28.42578125" bestFit="1" customWidth="1"/>
    <col min="402" max="402" width="12.42578125" bestFit="1" customWidth="1"/>
    <col min="403" max="403" width="20.140625" bestFit="1" customWidth="1"/>
    <col min="404" max="404" width="16.140625" bestFit="1" customWidth="1"/>
    <col min="405" max="405" width="26" bestFit="1" customWidth="1"/>
    <col min="406" max="406" width="15" bestFit="1" customWidth="1"/>
    <col min="407" max="407" width="22.7109375" bestFit="1" customWidth="1"/>
    <col min="408" max="408" width="18.7109375" bestFit="1" customWidth="1"/>
    <col min="409" max="409" width="28.42578125" bestFit="1" customWidth="1"/>
    <col min="410" max="410" width="12.42578125" bestFit="1" customWidth="1"/>
    <col min="411" max="411" width="20.140625" bestFit="1" customWidth="1"/>
    <col min="412" max="412" width="16.140625" bestFit="1" customWidth="1"/>
    <col min="413" max="413" width="26" bestFit="1" customWidth="1"/>
    <col min="414" max="414" width="15" bestFit="1" customWidth="1"/>
    <col min="415" max="415" width="22.7109375" bestFit="1" customWidth="1"/>
    <col min="416" max="416" width="18.7109375" bestFit="1" customWidth="1"/>
    <col min="417" max="417" width="28.42578125" bestFit="1" customWidth="1"/>
    <col min="418" max="418" width="12.42578125" bestFit="1" customWidth="1"/>
    <col min="419" max="419" width="20.140625" bestFit="1" customWidth="1"/>
    <col min="420" max="420" width="16.140625" bestFit="1" customWidth="1"/>
    <col min="421" max="421" width="26" bestFit="1" customWidth="1"/>
    <col min="422" max="422" width="15" bestFit="1" customWidth="1"/>
    <col min="423" max="423" width="22.7109375" bestFit="1" customWidth="1"/>
    <col min="424" max="424" width="18.7109375" bestFit="1" customWidth="1"/>
    <col min="425" max="425" width="28.42578125" bestFit="1" customWidth="1"/>
    <col min="426" max="426" width="12.42578125" bestFit="1" customWidth="1"/>
    <col min="427" max="427" width="20.140625" bestFit="1" customWidth="1"/>
    <col min="428" max="428" width="16.140625" bestFit="1" customWidth="1"/>
    <col min="429" max="429" width="26" bestFit="1" customWidth="1"/>
    <col min="430" max="430" width="15" bestFit="1" customWidth="1"/>
    <col min="431" max="431" width="22.7109375" bestFit="1" customWidth="1"/>
    <col min="432" max="432" width="18.7109375" bestFit="1" customWidth="1"/>
    <col min="433" max="433" width="28.42578125" bestFit="1" customWidth="1"/>
    <col min="434" max="434" width="12.42578125" bestFit="1" customWidth="1"/>
    <col min="435" max="435" width="20.140625" bestFit="1" customWidth="1"/>
    <col min="436" max="436" width="16.140625" bestFit="1" customWidth="1"/>
    <col min="437" max="437" width="26" bestFit="1" customWidth="1"/>
    <col min="438" max="438" width="15" bestFit="1" customWidth="1"/>
    <col min="439" max="439" width="22.7109375" bestFit="1" customWidth="1"/>
    <col min="440" max="440" width="18.7109375" bestFit="1" customWidth="1"/>
    <col min="441" max="441" width="28.42578125" bestFit="1" customWidth="1"/>
    <col min="442" max="442" width="12.42578125" bestFit="1" customWidth="1"/>
    <col min="443" max="443" width="20.140625" bestFit="1" customWidth="1"/>
    <col min="444" max="444" width="16.140625" bestFit="1" customWidth="1"/>
    <col min="445" max="445" width="26" bestFit="1" customWidth="1"/>
    <col min="446" max="446" width="15" bestFit="1" customWidth="1"/>
    <col min="447" max="447" width="22.7109375" bestFit="1" customWidth="1"/>
    <col min="448" max="448" width="18.7109375" bestFit="1" customWidth="1"/>
    <col min="449" max="449" width="28.42578125" bestFit="1" customWidth="1"/>
    <col min="450" max="450" width="12.42578125" bestFit="1" customWidth="1"/>
    <col min="451" max="451" width="20.140625" bestFit="1" customWidth="1"/>
    <col min="452" max="452" width="16.140625" bestFit="1" customWidth="1"/>
    <col min="453" max="453" width="26" bestFit="1" customWidth="1"/>
    <col min="454" max="454" width="15" bestFit="1" customWidth="1"/>
    <col min="455" max="455" width="22.7109375" bestFit="1" customWidth="1"/>
    <col min="456" max="456" width="18.7109375" bestFit="1" customWidth="1"/>
    <col min="457" max="457" width="28.42578125" bestFit="1" customWidth="1"/>
    <col min="458" max="458" width="12.42578125" bestFit="1" customWidth="1"/>
    <col min="459" max="459" width="20.140625" bestFit="1" customWidth="1"/>
    <col min="460" max="460" width="16.140625" bestFit="1" customWidth="1"/>
    <col min="461" max="461" width="26" bestFit="1" customWidth="1"/>
    <col min="462" max="462" width="15" bestFit="1" customWidth="1"/>
    <col min="463" max="463" width="22.7109375" bestFit="1" customWidth="1"/>
    <col min="464" max="464" width="18.7109375" bestFit="1" customWidth="1"/>
    <col min="465" max="465" width="28.42578125" bestFit="1" customWidth="1"/>
    <col min="466" max="466" width="12.42578125" bestFit="1" customWidth="1"/>
    <col min="467" max="467" width="20.140625" bestFit="1" customWidth="1"/>
    <col min="468" max="468" width="16.140625" bestFit="1" customWidth="1"/>
    <col min="469" max="469" width="26" bestFit="1" customWidth="1"/>
    <col min="470" max="470" width="15" bestFit="1" customWidth="1"/>
    <col min="471" max="471" width="22.7109375" bestFit="1" customWidth="1"/>
    <col min="472" max="472" width="18.7109375" bestFit="1" customWidth="1"/>
    <col min="473" max="473" width="28.42578125" bestFit="1" customWidth="1"/>
    <col min="474" max="474" width="12.42578125" bestFit="1" customWidth="1"/>
    <col min="475" max="475" width="20.140625" bestFit="1" customWidth="1"/>
    <col min="476" max="476" width="16.140625" bestFit="1" customWidth="1"/>
    <col min="477" max="477" width="26" bestFit="1" customWidth="1"/>
    <col min="478" max="478" width="15" bestFit="1" customWidth="1"/>
    <col min="479" max="479" width="22.7109375" bestFit="1" customWidth="1"/>
    <col min="480" max="480" width="18.7109375" bestFit="1" customWidth="1"/>
    <col min="481" max="481" width="28.42578125" bestFit="1" customWidth="1"/>
    <col min="482" max="482" width="12.42578125" bestFit="1" customWidth="1"/>
    <col min="483" max="483" width="20.140625" bestFit="1" customWidth="1"/>
    <col min="484" max="484" width="16.140625" bestFit="1" customWidth="1"/>
    <col min="485" max="485" width="26" bestFit="1" customWidth="1"/>
    <col min="486" max="486" width="15" bestFit="1" customWidth="1"/>
    <col min="487" max="487" width="22.7109375" bestFit="1" customWidth="1"/>
    <col min="488" max="488" width="18.7109375" bestFit="1" customWidth="1"/>
    <col min="489" max="489" width="28.42578125" bestFit="1" customWidth="1"/>
    <col min="490" max="490" width="12.42578125" bestFit="1" customWidth="1"/>
    <col min="491" max="491" width="20.140625" bestFit="1" customWidth="1"/>
    <col min="492" max="492" width="16.140625" bestFit="1" customWidth="1"/>
    <col min="493" max="493" width="26" bestFit="1" customWidth="1"/>
    <col min="494" max="494" width="15" bestFit="1" customWidth="1"/>
    <col min="495" max="495" width="22.7109375" bestFit="1" customWidth="1"/>
    <col min="496" max="496" width="18.7109375" bestFit="1" customWidth="1"/>
    <col min="497" max="497" width="28.42578125" bestFit="1" customWidth="1"/>
    <col min="498" max="498" width="12.42578125" bestFit="1" customWidth="1"/>
    <col min="499" max="499" width="20.140625" bestFit="1" customWidth="1"/>
    <col min="500" max="500" width="16.140625" bestFit="1" customWidth="1"/>
    <col min="501" max="501" width="26" bestFit="1" customWidth="1"/>
    <col min="502" max="502" width="15" bestFit="1" customWidth="1"/>
    <col min="503" max="503" width="22.7109375" bestFit="1" customWidth="1"/>
    <col min="504" max="504" width="18.7109375" bestFit="1" customWidth="1"/>
    <col min="505" max="505" width="28.42578125" bestFit="1" customWidth="1"/>
    <col min="506" max="506" width="12.42578125" bestFit="1" customWidth="1"/>
    <col min="507" max="507" width="20.140625" bestFit="1" customWidth="1"/>
    <col min="508" max="508" width="16.140625" bestFit="1" customWidth="1"/>
    <col min="509" max="509" width="26" bestFit="1" customWidth="1"/>
    <col min="510" max="510" width="15" bestFit="1" customWidth="1"/>
    <col min="511" max="511" width="22.7109375" bestFit="1" customWidth="1"/>
    <col min="512" max="512" width="18.7109375" bestFit="1" customWidth="1"/>
    <col min="513" max="513" width="28.42578125" bestFit="1" customWidth="1"/>
    <col min="514" max="514" width="12.42578125" bestFit="1" customWidth="1"/>
    <col min="515" max="515" width="20.140625" bestFit="1" customWidth="1"/>
    <col min="516" max="516" width="16.140625" bestFit="1" customWidth="1"/>
    <col min="517" max="517" width="26" bestFit="1" customWidth="1"/>
    <col min="518" max="518" width="15" bestFit="1" customWidth="1"/>
    <col min="519" max="519" width="22.7109375" bestFit="1" customWidth="1"/>
    <col min="520" max="520" width="18.7109375" bestFit="1" customWidth="1"/>
    <col min="521" max="521" width="28.42578125" bestFit="1" customWidth="1"/>
    <col min="522" max="522" width="12.42578125" bestFit="1" customWidth="1"/>
    <col min="523" max="523" width="20.140625" bestFit="1" customWidth="1"/>
    <col min="524" max="524" width="16.140625" bestFit="1" customWidth="1"/>
    <col min="525" max="525" width="26" bestFit="1" customWidth="1"/>
    <col min="526" max="526" width="15" bestFit="1" customWidth="1"/>
    <col min="527" max="527" width="22.7109375" bestFit="1" customWidth="1"/>
    <col min="528" max="528" width="18.7109375" bestFit="1" customWidth="1"/>
    <col min="529" max="529" width="28.42578125" bestFit="1" customWidth="1"/>
    <col min="530" max="530" width="12.42578125" bestFit="1" customWidth="1"/>
    <col min="531" max="531" width="20.140625" bestFit="1" customWidth="1"/>
    <col min="532" max="532" width="16.140625" bestFit="1" customWidth="1"/>
    <col min="533" max="533" width="26" bestFit="1" customWidth="1"/>
    <col min="534" max="534" width="15" bestFit="1" customWidth="1"/>
    <col min="535" max="535" width="22.7109375" bestFit="1" customWidth="1"/>
    <col min="536" max="536" width="18.7109375" bestFit="1" customWidth="1"/>
    <col min="537" max="537" width="28.42578125" bestFit="1" customWidth="1"/>
    <col min="538" max="538" width="12.42578125" bestFit="1" customWidth="1"/>
    <col min="539" max="539" width="20.140625" bestFit="1" customWidth="1"/>
    <col min="540" max="540" width="16.140625" bestFit="1" customWidth="1"/>
    <col min="541" max="541" width="26" bestFit="1" customWidth="1"/>
    <col min="542" max="542" width="15" bestFit="1" customWidth="1"/>
    <col min="543" max="543" width="22.7109375" bestFit="1" customWidth="1"/>
    <col min="544" max="544" width="18.7109375" bestFit="1" customWidth="1"/>
    <col min="545" max="545" width="28.42578125" bestFit="1" customWidth="1"/>
    <col min="546" max="546" width="12.42578125" bestFit="1" customWidth="1"/>
    <col min="547" max="547" width="20.140625" bestFit="1" customWidth="1"/>
    <col min="548" max="548" width="16.140625" bestFit="1" customWidth="1"/>
    <col min="549" max="549" width="26" bestFit="1" customWidth="1"/>
    <col min="550" max="550" width="15" bestFit="1" customWidth="1"/>
    <col min="551" max="551" width="22.7109375" bestFit="1" customWidth="1"/>
    <col min="552" max="552" width="18.7109375" bestFit="1" customWidth="1"/>
    <col min="553" max="553" width="28.42578125" bestFit="1" customWidth="1"/>
    <col min="554" max="554" width="12.42578125" bestFit="1" customWidth="1"/>
    <col min="555" max="555" width="20.140625" bestFit="1" customWidth="1"/>
    <col min="556" max="556" width="16.140625" bestFit="1" customWidth="1"/>
    <col min="557" max="557" width="26" bestFit="1" customWidth="1"/>
    <col min="558" max="558" width="15" bestFit="1" customWidth="1"/>
    <col min="559" max="559" width="22.7109375" bestFit="1" customWidth="1"/>
    <col min="560" max="560" width="18.7109375" bestFit="1" customWidth="1"/>
    <col min="561" max="561" width="28.42578125" bestFit="1" customWidth="1"/>
    <col min="562" max="562" width="12.42578125" bestFit="1" customWidth="1"/>
    <col min="563" max="563" width="20.140625" bestFit="1" customWidth="1"/>
    <col min="564" max="564" width="16.140625" bestFit="1" customWidth="1"/>
    <col min="565" max="565" width="26" bestFit="1" customWidth="1"/>
    <col min="566" max="566" width="15" bestFit="1" customWidth="1"/>
    <col min="567" max="567" width="22.7109375" bestFit="1" customWidth="1"/>
    <col min="568" max="568" width="18.7109375" bestFit="1" customWidth="1"/>
    <col min="569" max="569" width="28.42578125" bestFit="1" customWidth="1"/>
    <col min="570" max="570" width="12.42578125" bestFit="1" customWidth="1"/>
    <col min="571" max="571" width="20.140625" bestFit="1" customWidth="1"/>
    <col min="572" max="572" width="16.140625" bestFit="1" customWidth="1"/>
    <col min="573" max="573" width="26" bestFit="1" customWidth="1"/>
    <col min="574" max="574" width="15" bestFit="1" customWidth="1"/>
    <col min="575" max="575" width="22.7109375" bestFit="1" customWidth="1"/>
    <col min="576" max="576" width="18.7109375" bestFit="1" customWidth="1"/>
    <col min="577" max="577" width="28.42578125" bestFit="1" customWidth="1"/>
    <col min="578" max="578" width="12.42578125" bestFit="1" customWidth="1"/>
    <col min="579" max="579" width="20.140625" bestFit="1" customWidth="1"/>
    <col min="580" max="580" width="16.140625" bestFit="1" customWidth="1"/>
    <col min="581" max="581" width="26" bestFit="1" customWidth="1"/>
    <col min="582" max="582" width="16" bestFit="1" customWidth="1"/>
    <col min="583" max="583" width="23.7109375" bestFit="1" customWidth="1"/>
    <col min="584" max="584" width="19.7109375" bestFit="1" customWidth="1"/>
    <col min="585" max="585" width="29.42578125" bestFit="1" customWidth="1"/>
    <col min="586" max="586" width="12.42578125" bestFit="1" customWidth="1"/>
    <col min="587" max="587" width="20.140625" bestFit="1" customWidth="1"/>
    <col min="588" max="588" width="16.140625" bestFit="1" customWidth="1"/>
    <col min="589" max="589" width="26" bestFit="1" customWidth="1"/>
    <col min="590" max="590" width="16" bestFit="1" customWidth="1"/>
    <col min="591" max="591" width="23.7109375" bestFit="1" customWidth="1"/>
    <col min="592" max="592" width="19.7109375" bestFit="1" customWidth="1"/>
    <col min="593" max="593" width="29.42578125" bestFit="1" customWidth="1"/>
    <col min="594" max="594" width="12.42578125" bestFit="1" customWidth="1"/>
    <col min="595" max="595" width="20.140625" bestFit="1" customWidth="1"/>
    <col min="596" max="596" width="16.140625" bestFit="1" customWidth="1"/>
    <col min="597" max="597" width="26" bestFit="1" customWidth="1"/>
    <col min="598" max="598" width="16" bestFit="1" customWidth="1"/>
    <col min="599" max="599" width="23.7109375" bestFit="1" customWidth="1"/>
    <col min="600" max="600" width="19.7109375" bestFit="1" customWidth="1"/>
    <col min="601" max="601" width="29.42578125" bestFit="1" customWidth="1"/>
    <col min="602" max="602" width="12.42578125" bestFit="1" customWidth="1"/>
    <col min="603" max="603" width="20.140625" bestFit="1" customWidth="1"/>
    <col min="604" max="604" width="16.140625" bestFit="1" customWidth="1"/>
    <col min="605" max="605" width="26" bestFit="1" customWidth="1"/>
    <col min="606" max="606" width="16" bestFit="1" customWidth="1"/>
    <col min="607" max="607" width="23.7109375" bestFit="1" customWidth="1"/>
    <col min="608" max="608" width="19.7109375" bestFit="1" customWidth="1"/>
    <col min="609" max="609" width="29.42578125" bestFit="1" customWidth="1"/>
    <col min="610" max="610" width="12.42578125" bestFit="1" customWidth="1"/>
    <col min="611" max="611" width="20.140625" bestFit="1" customWidth="1"/>
    <col min="612" max="612" width="16.140625" bestFit="1" customWidth="1"/>
    <col min="613" max="613" width="26" bestFit="1" customWidth="1"/>
    <col min="614" max="614" width="16" bestFit="1" customWidth="1"/>
    <col min="615" max="615" width="23.7109375" bestFit="1" customWidth="1"/>
    <col min="616" max="616" width="19.7109375" bestFit="1" customWidth="1"/>
    <col min="617" max="617" width="29.42578125" bestFit="1" customWidth="1"/>
    <col min="618" max="618" width="12.42578125" bestFit="1" customWidth="1"/>
    <col min="619" max="619" width="20.140625" bestFit="1" customWidth="1"/>
    <col min="620" max="620" width="16.140625" bestFit="1" customWidth="1"/>
    <col min="621" max="621" width="26" bestFit="1" customWidth="1"/>
    <col min="622" max="622" width="16" bestFit="1" customWidth="1"/>
    <col min="623" max="623" width="23.7109375" bestFit="1" customWidth="1"/>
    <col min="624" max="624" width="19.7109375" bestFit="1" customWidth="1"/>
    <col min="625" max="625" width="29.42578125" bestFit="1" customWidth="1"/>
    <col min="626" max="626" width="12.42578125" bestFit="1" customWidth="1"/>
    <col min="627" max="627" width="20.140625" bestFit="1" customWidth="1"/>
    <col min="628" max="628" width="16.140625" bestFit="1" customWidth="1"/>
    <col min="629" max="629" width="26" bestFit="1" customWidth="1"/>
    <col min="630" max="630" width="16" bestFit="1" customWidth="1"/>
    <col min="631" max="631" width="23.7109375" bestFit="1" customWidth="1"/>
    <col min="632" max="632" width="19.7109375" bestFit="1" customWidth="1"/>
    <col min="633" max="633" width="29.42578125" bestFit="1" customWidth="1"/>
    <col min="634" max="634" width="12.42578125" bestFit="1" customWidth="1"/>
    <col min="635" max="635" width="20.140625" bestFit="1" customWidth="1"/>
    <col min="636" max="636" width="16.140625" bestFit="1" customWidth="1"/>
    <col min="637" max="637" width="26" bestFit="1" customWidth="1"/>
    <col min="638" max="638" width="16" bestFit="1" customWidth="1"/>
    <col min="639" max="639" width="23.7109375" bestFit="1" customWidth="1"/>
    <col min="640" max="640" width="19.7109375" bestFit="1" customWidth="1"/>
    <col min="641" max="641" width="29.42578125" bestFit="1" customWidth="1"/>
    <col min="642" max="642" width="12.42578125" bestFit="1" customWidth="1"/>
    <col min="643" max="643" width="20.140625" bestFit="1" customWidth="1"/>
    <col min="644" max="644" width="16.140625" bestFit="1" customWidth="1"/>
    <col min="645" max="645" width="26" bestFit="1" customWidth="1"/>
    <col min="646" max="646" width="16" bestFit="1" customWidth="1"/>
    <col min="647" max="647" width="23.7109375" bestFit="1" customWidth="1"/>
    <col min="648" max="648" width="19.7109375" bestFit="1" customWidth="1"/>
    <col min="649" max="649" width="29.42578125" bestFit="1" customWidth="1"/>
    <col min="650" max="650" width="12.42578125" bestFit="1" customWidth="1"/>
    <col min="651" max="651" width="20.140625" bestFit="1" customWidth="1"/>
    <col min="652" max="652" width="16.140625" bestFit="1" customWidth="1"/>
    <col min="653" max="653" width="26" bestFit="1" customWidth="1"/>
    <col min="654" max="654" width="16" bestFit="1" customWidth="1"/>
    <col min="655" max="655" width="23.7109375" bestFit="1" customWidth="1"/>
    <col min="656" max="656" width="19.7109375" bestFit="1" customWidth="1"/>
    <col min="657" max="657" width="29.42578125" bestFit="1" customWidth="1"/>
    <col min="658" max="658" width="12.42578125" bestFit="1" customWidth="1"/>
    <col min="659" max="659" width="20.140625" bestFit="1" customWidth="1"/>
    <col min="660" max="660" width="16.140625" bestFit="1" customWidth="1"/>
    <col min="661" max="661" width="26" bestFit="1" customWidth="1"/>
    <col min="662" max="662" width="16" bestFit="1" customWidth="1"/>
    <col min="663" max="663" width="23.7109375" bestFit="1" customWidth="1"/>
    <col min="664" max="664" width="19.7109375" bestFit="1" customWidth="1"/>
    <col min="665" max="665" width="29.42578125" bestFit="1" customWidth="1"/>
    <col min="666" max="666" width="12.42578125" bestFit="1" customWidth="1"/>
    <col min="667" max="667" width="20.140625" bestFit="1" customWidth="1"/>
    <col min="668" max="668" width="16.140625" bestFit="1" customWidth="1"/>
    <col min="669" max="669" width="26" bestFit="1" customWidth="1"/>
    <col min="670" max="670" width="16" bestFit="1" customWidth="1"/>
    <col min="671" max="671" width="23.7109375" bestFit="1" customWidth="1"/>
    <col min="672" max="672" width="19.7109375" bestFit="1" customWidth="1"/>
    <col min="673" max="673" width="29.42578125" bestFit="1" customWidth="1"/>
    <col min="674" max="674" width="12.42578125" bestFit="1" customWidth="1"/>
    <col min="675" max="675" width="20.140625" bestFit="1" customWidth="1"/>
    <col min="676" max="676" width="16.140625" bestFit="1" customWidth="1"/>
    <col min="677" max="677" width="26" bestFit="1" customWidth="1"/>
    <col min="678" max="678" width="16" bestFit="1" customWidth="1"/>
    <col min="679" max="679" width="23.7109375" bestFit="1" customWidth="1"/>
    <col min="680" max="680" width="19.7109375" bestFit="1" customWidth="1"/>
    <col min="681" max="681" width="29.42578125" bestFit="1" customWidth="1"/>
    <col min="682" max="682" width="12.42578125" bestFit="1" customWidth="1"/>
    <col min="683" max="683" width="20.140625" bestFit="1" customWidth="1"/>
    <col min="684" max="684" width="16.140625" bestFit="1" customWidth="1"/>
    <col min="685" max="685" width="26" bestFit="1" customWidth="1"/>
    <col min="686" max="686" width="16" bestFit="1" customWidth="1"/>
    <col min="687" max="687" width="23.7109375" bestFit="1" customWidth="1"/>
    <col min="688" max="688" width="19.7109375" bestFit="1" customWidth="1"/>
    <col min="689" max="689" width="29.42578125" bestFit="1" customWidth="1"/>
    <col min="690" max="690" width="12.42578125" bestFit="1" customWidth="1"/>
    <col min="691" max="691" width="20.140625" bestFit="1" customWidth="1"/>
    <col min="692" max="692" width="16.140625" bestFit="1" customWidth="1"/>
    <col min="693" max="693" width="26" bestFit="1" customWidth="1"/>
    <col min="694" max="694" width="16" bestFit="1" customWidth="1"/>
    <col min="695" max="695" width="23.7109375" bestFit="1" customWidth="1"/>
    <col min="696" max="696" width="19.7109375" bestFit="1" customWidth="1"/>
    <col min="697" max="697" width="29.42578125" bestFit="1" customWidth="1"/>
    <col min="698" max="698" width="12.42578125" bestFit="1" customWidth="1"/>
    <col min="699" max="699" width="20.140625" bestFit="1" customWidth="1"/>
    <col min="700" max="700" width="16.140625" bestFit="1" customWidth="1"/>
    <col min="701" max="701" width="26" bestFit="1" customWidth="1"/>
    <col min="702" max="702" width="16" bestFit="1" customWidth="1"/>
    <col min="703" max="703" width="23.7109375" bestFit="1" customWidth="1"/>
    <col min="704" max="704" width="19.7109375" bestFit="1" customWidth="1"/>
    <col min="705" max="705" width="29.42578125" bestFit="1" customWidth="1"/>
    <col min="706" max="706" width="12.42578125" bestFit="1" customWidth="1"/>
    <col min="707" max="707" width="20.140625" bestFit="1" customWidth="1"/>
    <col min="708" max="708" width="16.140625" bestFit="1" customWidth="1"/>
    <col min="709" max="709" width="26" bestFit="1" customWidth="1"/>
    <col min="710" max="710" width="16" bestFit="1" customWidth="1"/>
    <col min="711" max="711" width="23.7109375" bestFit="1" customWidth="1"/>
    <col min="712" max="712" width="19.7109375" bestFit="1" customWidth="1"/>
    <col min="713" max="713" width="29.42578125" bestFit="1" customWidth="1"/>
    <col min="714" max="714" width="12.42578125" bestFit="1" customWidth="1"/>
    <col min="715" max="715" width="5" bestFit="1" customWidth="1"/>
    <col min="716" max="716" width="20.140625" bestFit="1" customWidth="1"/>
    <col min="717" max="717" width="3" bestFit="1" customWidth="1"/>
    <col min="718" max="718" width="16.140625" bestFit="1" customWidth="1"/>
    <col min="719" max="719" width="3" bestFit="1" customWidth="1"/>
    <col min="720" max="720" width="26" bestFit="1" customWidth="1"/>
    <col min="721" max="721" width="4" bestFit="1" customWidth="1"/>
    <col min="722" max="722" width="16" bestFit="1" customWidth="1"/>
    <col min="723" max="723" width="23.7109375" bestFit="1" customWidth="1"/>
    <col min="724" max="724" width="19.7109375" bestFit="1" customWidth="1"/>
    <col min="725" max="725" width="29.42578125" bestFit="1" customWidth="1"/>
    <col min="726" max="726" width="12.42578125" bestFit="1" customWidth="1"/>
    <col min="727" max="727" width="20.140625" bestFit="1" customWidth="1"/>
    <col min="728" max="728" width="16.140625" bestFit="1" customWidth="1"/>
    <col min="729" max="729" width="26" bestFit="1" customWidth="1"/>
    <col min="730" max="730" width="16" bestFit="1" customWidth="1"/>
    <col min="731" max="731" width="23.7109375" bestFit="1" customWidth="1"/>
    <col min="732" max="732" width="19.7109375" bestFit="1" customWidth="1"/>
    <col min="733" max="733" width="29.42578125" bestFit="1" customWidth="1"/>
    <col min="734" max="734" width="12.42578125" bestFit="1" customWidth="1"/>
    <col min="735" max="735" width="20.140625" bestFit="1" customWidth="1"/>
    <col min="736" max="736" width="16.140625" bestFit="1" customWidth="1"/>
    <col min="737" max="737" width="26" bestFit="1" customWidth="1"/>
    <col min="738" max="738" width="16" bestFit="1" customWidth="1"/>
    <col min="739" max="739" width="23.7109375" bestFit="1" customWidth="1"/>
    <col min="740" max="740" width="19.7109375" bestFit="1" customWidth="1"/>
    <col min="741" max="741" width="29.42578125" bestFit="1" customWidth="1"/>
    <col min="742" max="742" width="12.42578125" bestFit="1" customWidth="1"/>
    <col min="743" max="744" width="5" bestFit="1" customWidth="1"/>
    <col min="745" max="745" width="20.140625" bestFit="1" customWidth="1"/>
    <col min="746" max="747" width="3" bestFit="1" customWidth="1"/>
    <col min="748" max="748" width="16.140625" bestFit="1" customWidth="1"/>
    <col min="749" max="749" width="3" bestFit="1" customWidth="1"/>
    <col min="750" max="750" width="4" bestFit="1" customWidth="1"/>
    <col min="751" max="751" width="26" bestFit="1" customWidth="1"/>
    <col min="752" max="753" width="4" bestFit="1" customWidth="1"/>
    <col min="754" max="754" width="16" bestFit="1" customWidth="1"/>
    <col min="755" max="755" width="23.7109375" bestFit="1" customWidth="1"/>
    <col min="756" max="756" width="19.7109375" bestFit="1" customWidth="1"/>
    <col min="757" max="757" width="29.42578125" bestFit="1" customWidth="1"/>
    <col min="758" max="758" width="17.5703125" bestFit="1" customWidth="1"/>
    <col min="759" max="759" width="25.140625" bestFit="1" customWidth="1"/>
    <col min="760" max="760" width="21.140625" bestFit="1" customWidth="1"/>
    <col min="761" max="761" width="31" bestFit="1" customWidth="1"/>
    <col min="762" max="762" width="12.42578125" bestFit="1" customWidth="1"/>
    <col min="763" max="763" width="20.140625" bestFit="1" customWidth="1"/>
    <col min="764" max="764" width="16.140625" bestFit="1" customWidth="1"/>
    <col min="765" max="765" width="26.28515625" bestFit="1" customWidth="1"/>
    <col min="766" max="766" width="26" bestFit="1" customWidth="1"/>
    <col min="767" max="767" width="16" bestFit="1" customWidth="1"/>
    <col min="768" max="768" width="23.7109375" bestFit="1" customWidth="1"/>
    <col min="769" max="769" width="19.7109375" bestFit="1" customWidth="1"/>
    <col min="770" max="770" width="29.85546875" bestFit="1" customWidth="1"/>
    <col min="771" max="771" width="29.42578125" bestFit="1" customWidth="1"/>
    <col min="772" max="772" width="12.42578125" bestFit="1" customWidth="1"/>
    <col min="773" max="773" width="20.140625" bestFit="1" customWidth="1"/>
    <col min="774" max="774" width="16.140625" bestFit="1" customWidth="1"/>
    <col min="775" max="775" width="26.28515625" bestFit="1" customWidth="1"/>
    <col min="776" max="776" width="26" bestFit="1" customWidth="1"/>
    <col min="777" max="777" width="16" bestFit="1" customWidth="1"/>
    <col min="778" max="778" width="23.7109375" bestFit="1" customWidth="1"/>
    <col min="779" max="779" width="19.7109375" bestFit="1" customWidth="1"/>
    <col min="780" max="780" width="29.85546875" bestFit="1" customWidth="1"/>
    <col min="781" max="781" width="29.42578125" bestFit="1" customWidth="1"/>
    <col min="782" max="782" width="12.42578125" bestFit="1" customWidth="1"/>
    <col min="783" max="783" width="20.140625" bestFit="1" customWidth="1"/>
    <col min="784" max="784" width="16.140625" bestFit="1" customWidth="1"/>
    <col min="785" max="785" width="26.28515625" bestFit="1" customWidth="1"/>
    <col min="786" max="786" width="26" bestFit="1" customWidth="1"/>
    <col min="787" max="787" width="16" bestFit="1" customWidth="1"/>
    <col min="788" max="788" width="23.7109375" bestFit="1" customWidth="1"/>
    <col min="789" max="789" width="19.7109375" bestFit="1" customWidth="1"/>
    <col min="790" max="790" width="29.85546875" bestFit="1" customWidth="1"/>
    <col min="791" max="791" width="29.42578125" bestFit="1" customWidth="1"/>
    <col min="792" max="792" width="12.42578125" bestFit="1" customWidth="1"/>
    <col min="793" max="793" width="20.140625" bestFit="1" customWidth="1"/>
    <col min="794" max="794" width="16.140625" bestFit="1" customWidth="1"/>
    <col min="795" max="795" width="26.28515625" bestFit="1" customWidth="1"/>
    <col min="796" max="796" width="26" bestFit="1" customWidth="1"/>
    <col min="797" max="797" width="16" bestFit="1" customWidth="1"/>
    <col min="798" max="798" width="23.7109375" bestFit="1" customWidth="1"/>
    <col min="799" max="799" width="19.7109375" bestFit="1" customWidth="1"/>
    <col min="800" max="800" width="29.85546875" bestFit="1" customWidth="1"/>
    <col min="801" max="801" width="29.42578125" bestFit="1" customWidth="1"/>
    <col min="802" max="802" width="12.42578125" bestFit="1" customWidth="1"/>
    <col min="803" max="803" width="20.140625" bestFit="1" customWidth="1"/>
    <col min="804" max="804" width="16.140625" bestFit="1" customWidth="1"/>
    <col min="805" max="805" width="26.28515625" bestFit="1" customWidth="1"/>
    <col min="806" max="806" width="26" bestFit="1" customWidth="1"/>
    <col min="807" max="807" width="16" bestFit="1" customWidth="1"/>
    <col min="808" max="808" width="23.7109375" bestFit="1" customWidth="1"/>
    <col min="809" max="809" width="19.7109375" bestFit="1" customWidth="1"/>
    <col min="810" max="810" width="29.85546875" bestFit="1" customWidth="1"/>
    <col min="811" max="811" width="29.42578125" bestFit="1" customWidth="1"/>
    <col min="812" max="812" width="12.42578125" bestFit="1" customWidth="1"/>
    <col min="813" max="813" width="20.140625" bestFit="1" customWidth="1"/>
    <col min="814" max="814" width="16.140625" bestFit="1" customWidth="1"/>
    <col min="815" max="815" width="26.28515625" bestFit="1" customWidth="1"/>
    <col min="816" max="816" width="26" bestFit="1" customWidth="1"/>
    <col min="817" max="817" width="16" bestFit="1" customWidth="1"/>
    <col min="818" max="818" width="23.7109375" bestFit="1" customWidth="1"/>
    <col min="819" max="819" width="19.7109375" bestFit="1" customWidth="1"/>
    <col min="820" max="820" width="29.85546875" bestFit="1" customWidth="1"/>
    <col min="821" max="821" width="29.42578125" bestFit="1" customWidth="1"/>
    <col min="822" max="822" width="12.42578125" bestFit="1" customWidth="1"/>
    <col min="823" max="823" width="20.140625" bestFit="1" customWidth="1"/>
    <col min="824" max="824" width="16.140625" bestFit="1" customWidth="1"/>
    <col min="825" max="825" width="26.28515625" bestFit="1" customWidth="1"/>
    <col min="826" max="826" width="26" bestFit="1" customWidth="1"/>
    <col min="827" max="827" width="16" bestFit="1" customWidth="1"/>
    <col min="828" max="828" width="23.7109375" bestFit="1" customWidth="1"/>
    <col min="829" max="829" width="19.7109375" bestFit="1" customWidth="1"/>
    <col min="830" max="830" width="29.85546875" bestFit="1" customWidth="1"/>
    <col min="831" max="831" width="29.42578125" bestFit="1" customWidth="1"/>
    <col min="832" max="832" width="12.42578125" bestFit="1" customWidth="1"/>
    <col min="833" max="833" width="20.140625" bestFit="1" customWidth="1"/>
    <col min="834" max="834" width="16.140625" bestFit="1" customWidth="1"/>
    <col min="835" max="835" width="26.28515625" bestFit="1" customWidth="1"/>
    <col min="836" max="836" width="26" bestFit="1" customWidth="1"/>
    <col min="837" max="837" width="16" bestFit="1" customWidth="1"/>
    <col min="838" max="838" width="23.7109375" bestFit="1" customWidth="1"/>
    <col min="839" max="839" width="19.7109375" bestFit="1" customWidth="1"/>
    <col min="840" max="840" width="29.85546875" bestFit="1" customWidth="1"/>
    <col min="841" max="841" width="29.42578125" bestFit="1" customWidth="1"/>
    <col min="842" max="842" width="12.42578125" bestFit="1" customWidth="1"/>
    <col min="843" max="843" width="20.140625" bestFit="1" customWidth="1"/>
    <col min="844" max="844" width="16.140625" bestFit="1" customWidth="1"/>
    <col min="845" max="845" width="26.28515625" bestFit="1" customWidth="1"/>
    <col min="846" max="846" width="26" bestFit="1" customWidth="1"/>
    <col min="847" max="847" width="16" bestFit="1" customWidth="1"/>
    <col min="848" max="848" width="23.7109375" bestFit="1" customWidth="1"/>
    <col min="849" max="849" width="19.7109375" bestFit="1" customWidth="1"/>
    <col min="850" max="850" width="29.85546875" bestFit="1" customWidth="1"/>
    <col min="851" max="851" width="29.42578125" bestFit="1" customWidth="1"/>
    <col min="852" max="852" width="12.42578125" bestFit="1" customWidth="1"/>
    <col min="853" max="853" width="20.140625" bestFit="1" customWidth="1"/>
    <col min="854" max="854" width="16.140625" bestFit="1" customWidth="1"/>
    <col min="855" max="855" width="26.28515625" bestFit="1" customWidth="1"/>
    <col min="856" max="856" width="26" bestFit="1" customWidth="1"/>
    <col min="857" max="857" width="16" bestFit="1" customWidth="1"/>
    <col min="858" max="858" width="23.7109375" bestFit="1" customWidth="1"/>
    <col min="859" max="859" width="19.7109375" bestFit="1" customWidth="1"/>
    <col min="860" max="860" width="29.85546875" bestFit="1" customWidth="1"/>
    <col min="861" max="861" width="29.42578125" bestFit="1" customWidth="1"/>
    <col min="862" max="862" width="12.42578125" bestFit="1" customWidth="1"/>
    <col min="863" max="863" width="20.140625" bestFit="1" customWidth="1"/>
    <col min="864" max="864" width="16.140625" bestFit="1" customWidth="1"/>
    <col min="865" max="865" width="26.28515625" bestFit="1" customWidth="1"/>
    <col min="866" max="866" width="26" bestFit="1" customWidth="1"/>
    <col min="867" max="867" width="16" bestFit="1" customWidth="1"/>
    <col min="868" max="868" width="23.7109375" bestFit="1" customWidth="1"/>
    <col min="869" max="869" width="19.7109375" bestFit="1" customWidth="1"/>
    <col min="870" max="870" width="29.85546875" bestFit="1" customWidth="1"/>
    <col min="871" max="871" width="29.42578125" bestFit="1" customWidth="1"/>
    <col min="872" max="872" width="12.42578125" bestFit="1" customWidth="1"/>
    <col min="873" max="873" width="20.140625" bestFit="1" customWidth="1"/>
    <col min="874" max="874" width="16.140625" bestFit="1" customWidth="1"/>
    <col min="875" max="875" width="26.28515625" bestFit="1" customWidth="1"/>
    <col min="876" max="876" width="26" bestFit="1" customWidth="1"/>
    <col min="877" max="877" width="16" bestFit="1" customWidth="1"/>
    <col min="878" max="878" width="23.7109375" bestFit="1" customWidth="1"/>
    <col min="879" max="879" width="19.7109375" bestFit="1" customWidth="1"/>
    <col min="880" max="880" width="29.85546875" bestFit="1" customWidth="1"/>
    <col min="881" max="881" width="29.42578125" bestFit="1" customWidth="1"/>
    <col min="882" max="882" width="12.42578125" bestFit="1" customWidth="1"/>
    <col min="883" max="883" width="20.140625" bestFit="1" customWidth="1"/>
    <col min="884" max="884" width="16.140625" bestFit="1" customWidth="1"/>
    <col min="885" max="885" width="26.28515625" bestFit="1" customWidth="1"/>
    <col min="886" max="886" width="26" bestFit="1" customWidth="1"/>
    <col min="887" max="887" width="16" bestFit="1" customWidth="1"/>
    <col min="888" max="888" width="23.7109375" bestFit="1" customWidth="1"/>
    <col min="889" max="889" width="19.7109375" bestFit="1" customWidth="1"/>
    <col min="890" max="890" width="29.85546875" bestFit="1" customWidth="1"/>
    <col min="891" max="891" width="29.42578125" bestFit="1" customWidth="1"/>
    <col min="892" max="892" width="12.42578125" bestFit="1" customWidth="1"/>
    <col min="893" max="893" width="5" bestFit="1" customWidth="1"/>
    <col min="894" max="894" width="20.140625" bestFit="1" customWidth="1"/>
    <col min="895" max="895" width="3" bestFit="1" customWidth="1"/>
    <col min="896" max="896" width="16.140625" bestFit="1" customWidth="1"/>
    <col min="897" max="897" width="3" bestFit="1" customWidth="1"/>
    <col min="898" max="898" width="26.28515625" bestFit="1" customWidth="1"/>
    <col min="899" max="899" width="4" bestFit="1" customWidth="1"/>
    <col min="900" max="900" width="26" bestFit="1" customWidth="1"/>
    <col min="901" max="901" width="4" bestFit="1" customWidth="1"/>
    <col min="902" max="902" width="16" bestFit="1" customWidth="1"/>
    <col min="903" max="903" width="23.7109375" bestFit="1" customWidth="1"/>
    <col min="904" max="904" width="19.7109375" bestFit="1" customWidth="1"/>
    <col min="905" max="905" width="29.85546875" bestFit="1" customWidth="1"/>
    <col min="906" max="906" width="29.42578125" bestFit="1" customWidth="1"/>
    <col min="907" max="907" width="12.42578125" bestFit="1" customWidth="1"/>
    <col min="908" max="908" width="20.140625" bestFit="1" customWidth="1"/>
    <col min="909" max="909" width="16.140625" bestFit="1" customWidth="1"/>
    <col min="910" max="910" width="26.28515625" bestFit="1" customWidth="1"/>
    <col min="911" max="911" width="26" bestFit="1" customWidth="1"/>
    <col min="912" max="912" width="16" bestFit="1" customWidth="1"/>
    <col min="913" max="913" width="23.7109375" bestFit="1" customWidth="1"/>
    <col min="914" max="914" width="19.7109375" bestFit="1" customWidth="1"/>
    <col min="915" max="915" width="29.85546875" bestFit="1" customWidth="1"/>
    <col min="916" max="916" width="29.42578125" bestFit="1" customWidth="1"/>
    <col min="917" max="917" width="12.42578125" bestFit="1" customWidth="1"/>
    <col min="918" max="918" width="20.140625" bestFit="1" customWidth="1"/>
    <col min="919" max="919" width="16.140625" bestFit="1" customWidth="1"/>
    <col min="920" max="920" width="26.28515625" bestFit="1" customWidth="1"/>
    <col min="921" max="921" width="26" bestFit="1" customWidth="1"/>
    <col min="922" max="922" width="16" bestFit="1" customWidth="1"/>
    <col min="923" max="923" width="23.7109375" bestFit="1" customWidth="1"/>
    <col min="924" max="924" width="19.7109375" bestFit="1" customWidth="1"/>
    <col min="925" max="925" width="29.85546875" bestFit="1" customWidth="1"/>
    <col min="926" max="926" width="29.42578125" bestFit="1" customWidth="1"/>
    <col min="927" max="927" width="12.42578125" bestFit="1" customWidth="1"/>
    <col min="928" max="929" width="5" bestFit="1" customWidth="1"/>
    <col min="930" max="930" width="20.140625" bestFit="1" customWidth="1"/>
    <col min="931" max="932" width="3" bestFit="1" customWidth="1"/>
    <col min="933" max="933" width="16.140625" bestFit="1" customWidth="1"/>
    <col min="934" max="934" width="3" bestFit="1" customWidth="1"/>
    <col min="935" max="935" width="4" bestFit="1" customWidth="1"/>
    <col min="936" max="936" width="26.28515625" bestFit="1" customWidth="1"/>
    <col min="937" max="938" width="3" bestFit="1" customWidth="1"/>
    <col min="939" max="939" width="26" bestFit="1" customWidth="1"/>
    <col min="940" max="941" width="4" bestFit="1" customWidth="1"/>
    <col min="942" max="942" width="16" bestFit="1" customWidth="1"/>
    <col min="943" max="943" width="23.7109375" bestFit="1" customWidth="1"/>
    <col min="944" max="944" width="19.7109375" bestFit="1" customWidth="1"/>
    <col min="945" max="945" width="29.85546875" bestFit="1" customWidth="1"/>
    <col min="946" max="946" width="29.42578125" bestFit="1" customWidth="1"/>
    <col min="947" max="947" width="17.5703125" bestFit="1" customWidth="1"/>
    <col min="948" max="948" width="25.140625" bestFit="1" customWidth="1"/>
    <col min="949" max="949" width="21.140625" bestFit="1" customWidth="1"/>
    <col min="950" max="950" width="31.28515625" bestFit="1" customWidth="1"/>
    <col min="951" max="951" width="31" bestFit="1" customWidth="1"/>
    <col min="952" max="952" width="15.5703125" bestFit="1" customWidth="1"/>
    <col min="953" max="953" width="16.140625" bestFit="1" customWidth="1"/>
    <col min="954" max="954" width="26.28515625" bestFit="1" customWidth="1"/>
    <col min="955" max="955" width="26" bestFit="1" customWidth="1"/>
    <col min="956" max="956" width="16" bestFit="1" customWidth="1"/>
    <col min="957" max="957" width="23.7109375" bestFit="1" customWidth="1"/>
    <col min="958" max="958" width="19.140625" bestFit="1" customWidth="1"/>
    <col min="959" max="959" width="19.7109375" bestFit="1" customWidth="1"/>
    <col min="960" max="960" width="29.85546875" bestFit="1" customWidth="1"/>
    <col min="961" max="961" width="29.42578125" bestFit="1" customWidth="1"/>
    <col min="962" max="962" width="12.42578125" bestFit="1" customWidth="1"/>
    <col min="963" max="963" width="20.140625" bestFit="1" customWidth="1"/>
    <col min="964" max="964" width="15.5703125" bestFit="1" customWidth="1"/>
    <col min="965" max="965" width="16.140625" bestFit="1" customWidth="1"/>
    <col min="966" max="966" width="26.28515625" bestFit="1" customWidth="1"/>
    <col min="967" max="967" width="26" bestFit="1" customWidth="1"/>
    <col min="968" max="968" width="16" bestFit="1" customWidth="1"/>
    <col min="969" max="969" width="23.7109375" bestFit="1" customWidth="1"/>
    <col min="970" max="970" width="19.140625" bestFit="1" customWidth="1"/>
    <col min="971" max="971" width="19.7109375" bestFit="1" customWidth="1"/>
    <col min="972" max="972" width="29.85546875" bestFit="1" customWidth="1"/>
    <col min="973" max="973" width="29.42578125" bestFit="1" customWidth="1"/>
    <col min="974" max="974" width="12.42578125" bestFit="1" customWidth="1"/>
    <col min="975" max="975" width="20.140625" bestFit="1" customWidth="1"/>
    <col min="976" max="976" width="15.5703125" bestFit="1" customWidth="1"/>
    <col min="977" max="977" width="16.140625" bestFit="1" customWidth="1"/>
    <col min="978" max="978" width="26.28515625" bestFit="1" customWidth="1"/>
    <col min="979" max="979" width="26" bestFit="1" customWidth="1"/>
    <col min="980" max="980" width="16" bestFit="1" customWidth="1"/>
    <col min="981" max="981" width="23.7109375" bestFit="1" customWidth="1"/>
    <col min="982" max="982" width="19.140625" bestFit="1" customWidth="1"/>
    <col min="983" max="983" width="19.7109375" bestFit="1" customWidth="1"/>
    <col min="984" max="984" width="29.85546875" bestFit="1" customWidth="1"/>
    <col min="985" max="985" width="29.42578125" bestFit="1" customWidth="1"/>
    <col min="986" max="986" width="12.42578125" bestFit="1" customWidth="1"/>
    <col min="987" max="987" width="20.140625" bestFit="1" customWidth="1"/>
    <col min="988" max="988" width="15.5703125" bestFit="1" customWidth="1"/>
    <col min="989" max="989" width="16.140625" bestFit="1" customWidth="1"/>
    <col min="990" max="990" width="26.28515625" bestFit="1" customWidth="1"/>
    <col min="991" max="991" width="26" bestFit="1" customWidth="1"/>
    <col min="992" max="992" width="16" bestFit="1" customWidth="1"/>
    <col min="993" max="993" width="23.7109375" bestFit="1" customWidth="1"/>
    <col min="994" max="994" width="19.140625" bestFit="1" customWidth="1"/>
    <col min="995" max="995" width="19.7109375" bestFit="1" customWidth="1"/>
    <col min="996" max="996" width="29.85546875" bestFit="1" customWidth="1"/>
    <col min="997" max="997" width="29.42578125" bestFit="1" customWidth="1"/>
    <col min="998" max="998" width="12.42578125" bestFit="1" customWidth="1"/>
    <col min="999" max="999" width="20.140625" bestFit="1" customWidth="1"/>
    <col min="1000" max="1000" width="15.5703125" bestFit="1" customWidth="1"/>
    <col min="1001" max="1001" width="16.140625" bestFit="1" customWidth="1"/>
    <col min="1002" max="1002" width="26.28515625" bestFit="1" customWidth="1"/>
    <col min="1003" max="1003" width="26" bestFit="1" customWidth="1"/>
    <col min="1004" max="1004" width="16" bestFit="1" customWidth="1"/>
    <col min="1005" max="1005" width="23.7109375" bestFit="1" customWidth="1"/>
    <col min="1006" max="1006" width="19.140625" bestFit="1" customWidth="1"/>
    <col min="1007" max="1007" width="19.7109375" bestFit="1" customWidth="1"/>
    <col min="1008" max="1008" width="29.85546875" bestFit="1" customWidth="1"/>
    <col min="1009" max="1009" width="29.42578125" bestFit="1" customWidth="1"/>
    <col min="1010" max="1010" width="12.42578125" bestFit="1" customWidth="1"/>
    <col min="1011" max="1011" width="20.140625" bestFit="1" customWidth="1"/>
    <col min="1012" max="1012" width="15.5703125" bestFit="1" customWidth="1"/>
    <col min="1013" max="1013" width="16.140625" bestFit="1" customWidth="1"/>
    <col min="1014" max="1014" width="26.28515625" bestFit="1" customWidth="1"/>
    <col min="1015" max="1015" width="26" bestFit="1" customWidth="1"/>
    <col min="1016" max="1016" width="16" bestFit="1" customWidth="1"/>
    <col min="1017" max="1017" width="23.7109375" bestFit="1" customWidth="1"/>
    <col min="1018" max="1018" width="19.140625" bestFit="1" customWidth="1"/>
    <col min="1019" max="1019" width="19.7109375" bestFit="1" customWidth="1"/>
    <col min="1020" max="1020" width="29.85546875" bestFit="1" customWidth="1"/>
    <col min="1021" max="1021" width="29.42578125" bestFit="1" customWidth="1"/>
    <col min="1022" max="1022" width="12.42578125" bestFit="1" customWidth="1"/>
    <col min="1023" max="1023" width="20.140625" bestFit="1" customWidth="1"/>
    <col min="1024" max="1024" width="15.5703125" bestFit="1" customWidth="1"/>
    <col min="1025" max="1025" width="16.140625" bestFit="1" customWidth="1"/>
    <col min="1026" max="1026" width="26.28515625" bestFit="1" customWidth="1"/>
    <col min="1027" max="1027" width="26" bestFit="1" customWidth="1"/>
    <col min="1028" max="1028" width="16" bestFit="1" customWidth="1"/>
    <col min="1029" max="1029" width="23.7109375" bestFit="1" customWidth="1"/>
    <col min="1030" max="1030" width="19.140625" bestFit="1" customWidth="1"/>
    <col min="1031" max="1031" width="19.7109375" bestFit="1" customWidth="1"/>
    <col min="1032" max="1032" width="29.85546875" bestFit="1" customWidth="1"/>
    <col min="1033" max="1033" width="29.42578125" bestFit="1" customWidth="1"/>
    <col min="1034" max="1034" width="12.42578125" bestFit="1" customWidth="1"/>
    <col min="1035" max="1035" width="20.140625" bestFit="1" customWidth="1"/>
    <col min="1036" max="1036" width="15.5703125" bestFit="1" customWidth="1"/>
    <col min="1037" max="1037" width="16.140625" bestFit="1" customWidth="1"/>
    <col min="1038" max="1038" width="26.28515625" bestFit="1" customWidth="1"/>
    <col min="1039" max="1039" width="26" bestFit="1" customWidth="1"/>
    <col min="1040" max="1040" width="16" bestFit="1" customWidth="1"/>
    <col min="1041" max="1041" width="23.7109375" bestFit="1" customWidth="1"/>
    <col min="1042" max="1042" width="19.140625" bestFit="1" customWidth="1"/>
    <col min="1043" max="1043" width="19.7109375" bestFit="1" customWidth="1"/>
    <col min="1044" max="1044" width="29.85546875" bestFit="1" customWidth="1"/>
    <col min="1045" max="1045" width="29.42578125" bestFit="1" customWidth="1"/>
    <col min="1046" max="1046" width="12.42578125" bestFit="1" customWidth="1"/>
    <col min="1047" max="1047" width="20.140625" bestFit="1" customWidth="1"/>
    <col min="1048" max="1048" width="15.5703125" bestFit="1" customWidth="1"/>
    <col min="1049" max="1049" width="16.140625" bestFit="1" customWidth="1"/>
    <col min="1050" max="1050" width="26.28515625" bestFit="1" customWidth="1"/>
    <col min="1051" max="1051" width="26" bestFit="1" customWidth="1"/>
    <col min="1052" max="1052" width="16" bestFit="1" customWidth="1"/>
    <col min="1053" max="1053" width="23.7109375" bestFit="1" customWidth="1"/>
    <col min="1054" max="1054" width="19.140625" bestFit="1" customWidth="1"/>
    <col min="1055" max="1055" width="19.7109375" bestFit="1" customWidth="1"/>
    <col min="1056" max="1056" width="29.85546875" bestFit="1" customWidth="1"/>
    <col min="1057" max="1057" width="29.42578125" bestFit="1" customWidth="1"/>
    <col min="1058" max="1058" width="12.42578125" bestFit="1" customWidth="1"/>
    <col min="1059" max="1059" width="20.140625" bestFit="1" customWidth="1"/>
    <col min="1060" max="1060" width="15.5703125" bestFit="1" customWidth="1"/>
    <col min="1061" max="1061" width="16.140625" bestFit="1" customWidth="1"/>
    <col min="1062" max="1062" width="26.28515625" bestFit="1" customWidth="1"/>
    <col min="1063" max="1063" width="26" bestFit="1" customWidth="1"/>
    <col min="1064" max="1064" width="16" bestFit="1" customWidth="1"/>
    <col min="1065" max="1065" width="23.7109375" bestFit="1" customWidth="1"/>
    <col min="1066" max="1066" width="19.140625" bestFit="1" customWidth="1"/>
    <col min="1067" max="1067" width="19.7109375" bestFit="1" customWidth="1"/>
    <col min="1068" max="1068" width="29.85546875" bestFit="1" customWidth="1"/>
    <col min="1069" max="1069" width="29.42578125" bestFit="1" customWidth="1"/>
    <col min="1070" max="1070" width="12.42578125" bestFit="1" customWidth="1"/>
    <col min="1071" max="1071" width="5" bestFit="1" customWidth="1"/>
    <col min="1072" max="1072" width="20.140625" bestFit="1" customWidth="1"/>
    <col min="1073" max="1073" width="3" bestFit="1" customWidth="1"/>
    <col min="1074" max="1074" width="15.5703125" bestFit="1" customWidth="1"/>
    <col min="1075" max="1075" width="3" bestFit="1" customWidth="1"/>
    <col min="1076" max="1076" width="16.140625" bestFit="1" customWidth="1"/>
    <col min="1077" max="1077" width="3" bestFit="1" customWidth="1"/>
    <col min="1078" max="1078" width="26.28515625" bestFit="1" customWidth="1"/>
    <col min="1079" max="1079" width="4" bestFit="1" customWidth="1"/>
    <col min="1080" max="1080" width="26" bestFit="1" customWidth="1"/>
    <col min="1081" max="1081" width="4" bestFit="1" customWidth="1"/>
    <col min="1082" max="1082" width="16" bestFit="1" customWidth="1"/>
    <col min="1083" max="1083" width="23.7109375" bestFit="1" customWidth="1"/>
    <col min="1084" max="1084" width="19.140625" bestFit="1" customWidth="1"/>
    <col min="1085" max="1085" width="19.7109375" bestFit="1" customWidth="1"/>
    <col min="1086" max="1086" width="29.85546875" bestFit="1" customWidth="1"/>
    <col min="1087" max="1087" width="29.42578125" bestFit="1" customWidth="1"/>
    <col min="1088" max="1088" width="12.42578125" bestFit="1" customWidth="1"/>
    <col min="1089" max="1089" width="20.140625" bestFit="1" customWidth="1"/>
    <col min="1090" max="1090" width="15.5703125" bestFit="1" customWidth="1"/>
    <col min="1091" max="1091" width="16.140625" bestFit="1" customWidth="1"/>
    <col min="1092" max="1092" width="26.28515625" bestFit="1" customWidth="1"/>
    <col min="1093" max="1093" width="26" bestFit="1" customWidth="1"/>
    <col min="1094" max="1094" width="16" bestFit="1" customWidth="1"/>
    <col min="1095" max="1095" width="23.7109375" bestFit="1" customWidth="1"/>
    <col min="1096" max="1096" width="19.140625" bestFit="1" customWidth="1"/>
    <col min="1097" max="1097" width="19.7109375" bestFit="1" customWidth="1"/>
    <col min="1098" max="1098" width="29.85546875" bestFit="1" customWidth="1"/>
    <col min="1099" max="1099" width="29.42578125" bestFit="1" customWidth="1"/>
    <col min="1100" max="1100" width="12.42578125" bestFit="1" customWidth="1"/>
    <col min="1101" max="1101" width="20.140625" bestFit="1" customWidth="1"/>
    <col min="1102" max="1102" width="15.5703125" bestFit="1" customWidth="1"/>
    <col min="1103" max="1103" width="16.140625" bestFit="1" customWidth="1"/>
    <col min="1104" max="1104" width="26.28515625" bestFit="1" customWidth="1"/>
    <col min="1105" max="1105" width="26" bestFit="1" customWidth="1"/>
    <col min="1106" max="1106" width="16" bestFit="1" customWidth="1"/>
    <col min="1107" max="1107" width="23.7109375" bestFit="1" customWidth="1"/>
    <col min="1108" max="1108" width="19.140625" bestFit="1" customWidth="1"/>
    <col min="1109" max="1109" width="19.7109375" bestFit="1" customWidth="1"/>
    <col min="1110" max="1110" width="29.85546875" bestFit="1" customWidth="1"/>
    <col min="1111" max="1111" width="29.42578125" bestFit="1" customWidth="1"/>
    <col min="1112" max="1112" width="12.42578125" bestFit="1" customWidth="1"/>
    <col min="1113" max="1114" width="5" bestFit="1" customWidth="1"/>
    <col min="1115" max="1115" width="20.140625" bestFit="1" customWidth="1"/>
    <col min="1116" max="1117" width="3" bestFit="1" customWidth="1"/>
    <col min="1118" max="1118" width="15.5703125" bestFit="1" customWidth="1"/>
    <col min="1119" max="1120" width="4" bestFit="1" customWidth="1"/>
    <col min="1121" max="1121" width="16.140625" bestFit="1" customWidth="1"/>
    <col min="1122" max="1122" width="3" bestFit="1" customWidth="1"/>
    <col min="1123" max="1123" width="4" bestFit="1" customWidth="1"/>
    <col min="1124" max="1124" width="26.28515625" bestFit="1" customWidth="1"/>
    <col min="1125" max="1126" width="3" bestFit="1" customWidth="1"/>
    <col min="1127" max="1127" width="26" bestFit="1" customWidth="1"/>
    <col min="1128" max="1129" width="4" bestFit="1" customWidth="1"/>
    <col min="1130" max="1130" width="16" bestFit="1" customWidth="1"/>
    <col min="1131" max="1131" width="23.7109375" bestFit="1" customWidth="1"/>
    <col min="1132" max="1132" width="19.140625" bestFit="1" customWidth="1"/>
    <col min="1133" max="1133" width="19.7109375" bestFit="1" customWidth="1"/>
    <col min="1134" max="1134" width="29.85546875" bestFit="1" customWidth="1"/>
    <col min="1135" max="1135" width="29.42578125" bestFit="1" customWidth="1"/>
    <col min="1136" max="1136" width="17.5703125" bestFit="1" customWidth="1"/>
    <col min="1137" max="1137" width="25.140625" bestFit="1" customWidth="1"/>
    <col min="1138" max="1138" width="20.5703125" bestFit="1" customWidth="1"/>
    <col min="1139" max="1139" width="21.140625" bestFit="1" customWidth="1"/>
    <col min="1140" max="1140" width="31.28515625" bestFit="1" customWidth="1"/>
    <col min="1141" max="1141" width="31" bestFit="1" customWidth="1"/>
    <col min="1142" max="1142" width="38.85546875" bestFit="1" customWidth="1"/>
    <col min="1143" max="1143" width="7.85546875" bestFit="1" customWidth="1"/>
    <col min="1144" max="1144" width="38.85546875" bestFit="1" customWidth="1"/>
    <col min="1145" max="1145" width="7.85546875" bestFit="1" customWidth="1"/>
    <col min="1146" max="1146" width="38.85546875" bestFit="1" customWidth="1"/>
    <col min="1147" max="1147" width="7.85546875" bestFit="1" customWidth="1"/>
    <col min="1148" max="1148" width="15" bestFit="1" customWidth="1"/>
    <col min="1149" max="1149" width="22.7109375" bestFit="1" customWidth="1"/>
    <col min="1150" max="1150" width="18.140625" bestFit="1" customWidth="1"/>
    <col min="1151" max="1151" width="18.7109375" bestFit="1" customWidth="1"/>
    <col min="1152" max="1152" width="28.7109375" bestFit="1" customWidth="1"/>
    <col min="1153" max="1153" width="28.42578125" bestFit="1" customWidth="1"/>
    <col min="1154" max="1154" width="27.7109375" bestFit="1" customWidth="1"/>
    <col min="1155" max="1155" width="7.85546875" bestFit="1" customWidth="1"/>
    <col min="1156" max="1156" width="27.7109375" bestFit="1" customWidth="1"/>
    <col min="1157" max="1157" width="7.85546875" bestFit="1" customWidth="1"/>
    <col min="1158" max="1158" width="27.7109375" bestFit="1" customWidth="1"/>
    <col min="1159" max="1159" width="7.85546875" bestFit="1" customWidth="1"/>
    <col min="1160" max="1160" width="27.7109375" bestFit="1" customWidth="1"/>
    <col min="1161" max="1161" width="7.85546875" bestFit="1" customWidth="1"/>
    <col min="1162" max="1162" width="27.7109375" bestFit="1" customWidth="1"/>
    <col min="1163" max="1163" width="7.85546875" bestFit="1" customWidth="1"/>
    <col min="1164" max="1164" width="27.7109375" bestFit="1" customWidth="1"/>
    <col min="1165" max="1165" width="7.85546875" bestFit="1" customWidth="1"/>
    <col min="1166" max="1166" width="15" bestFit="1" customWidth="1"/>
    <col min="1167" max="1167" width="22.7109375" bestFit="1" customWidth="1"/>
    <col min="1168" max="1168" width="18.140625" bestFit="1" customWidth="1"/>
    <col min="1169" max="1169" width="18.7109375" bestFit="1" customWidth="1"/>
    <col min="1170" max="1170" width="28.7109375" bestFit="1" customWidth="1"/>
    <col min="1171" max="1171" width="28.42578125" bestFit="1" customWidth="1"/>
    <col min="1172" max="1172" width="33.28515625" bestFit="1" customWidth="1"/>
    <col min="1173" max="1173" width="7.85546875" bestFit="1" customWidth="1"/>
    <col min="1174" max="1174" width="33.28515625" bestFit="1" customWidth="1"/>
    <col min="1175" max="1175" width="7.85546875" bestFit="1" customWidth="1"/>
    <col min="1176" max="1176" width="33.28515625" bestFit="1" customWidth="1"/>
    <col min="1177" max="1177" width="7.85546875" bestFit="1" customWidth="1"/>
    <col min="1178" max="1178" width="33.28515625" bestFit="1" customWidth="1"/>
    <col min="1179" max="1179" width="7.85546875" bestFit="1" customWidth="1"/>
    <col min="1180" max="1180" width="33.28515625" bestFit="1" customWidth="1"/>
    <col min="1181" max="1181" width="7.85546875" bestFit="1" customWidth="1"/>
    <col min="1182" max="1182" width="33.28515625" bestFit="1" customWidth="1"/>
    <col min="1183" max="1183" width="7.85546875" bestFit="1" customWidth="1"/>
    <col min="1184" max="1184" width="15" bestFit="1" customWidth="1"/>
    <col min="1185" max="1185" width="22.7109375" bestFit="1" customWidth="1"/>
    <col min="1186" max="1186" width="18.140625" bestFit="1" customWidth="1"/>
    <col min="1187" max="1187" width="18.7109375" bestFit="1" customWidth="1"/>
    <col min="1188" max="1188" width="28.7109375" bestFit="1" customWidth="1"/>
    <col min="1189" max="1189" width="28.42578125" bestFit="1" customWidth="1"/>
    <col min="1190" max="1190" width="28" bestFit="1" customWidth="1"/>
    <col min="1191" max="1191" width="7.85546875" bestFit="1" customWidth="1"/>
    <col min="1192" max="1192" width="28" bestFit="1" customWidth="1"/>
    <col min="1193" max="1193" width="7.85546875" bestFit="1" customWidth="1"/>
    <col min="1194" max="1194" width="28" bestFit="1" customWidth="1"/>
    <col min="1195" max="1195" width="7.85546875" bestFit="1" customWidth="1"/>
    <col min="1196" max="1196" width="28" bestFit="1" customWidth="1"/>
    <col min="1197" max="1197" width="7.85546875" bestFit="1" customWidth="1"/>
    <col min="1198" max="1198" width="28" bestFit="1" customWidth="1"/>
    <col min="1199" max="1199" width="7.85546875" bestFit="1" customWidth="1"/>
    <col min="1200" max="1200" width="28" bestFit="1" customWidth="1"/>
    <col min="1201" max="1201" width="7.85546875" bestFit="1" customWidth="1"/>
    <col min="1202" max="1202" width="15" bestFit="1" customWidth="1"/>
    <col min="1203" max="1203" width="22.7109375" bestFit="1" customWidth="1"/>
    <col min="1204" max="1204" width="18.140625" bestFit="1" customWidth="1"/>
    <col min="1205" max="1205" width="18.7109375" bestFit="1" customWidth="1"/>
    <col min="1206" max="1206" width="28.7109375" bestFit="1" customWidth="1"/>
    <col min="1207" max="1207" width="28.42578125" bestFit="1" customWidth="1"/>
    <col min="1208" max="1208" width="24.42578125" bestFit="1" customWidth="1"/>
    <col min="1209" max="1209" width="7.85546875" bestFit="1" customWidth="1"/>
    <col min="1210" max="1210" width="24.42578125" bestFit="1" customWidth="1"/>
    <col min="1211" max="1211" width="7.85546875" bestFit="1" customWidth="1"/>
    <col min="1212" max="1212" width="24.42578125" bestFit="1" customWidth="1"/>
    <col min="1213" max="1213" width="7.85546875" bestFit="1" customWidth="1"/>
    <col min="1214" max="1214" width="24.42578125" bestFit="1" customWidth="1"/>
    <col min="1215" max="1215" width="7.85546875" bestFit="1" customWidth="1"/>
    <col min="1216" max="1216" width="26.28515625" bestFit="1" customWidth="1"/>
    <col min="1217" max="1217" width="7.85546875" bestFit="1" customWidth="1"/>
    <col min="1218" max="1218" width="26" bestFit="1" customWidth="1"/>
    <col min="1219" max="1219" width="7.85546875" bestFit="1" customWidth="1"/>
    <col min="1220" max="1220" width="15" bestFit="1" customWidth="1"/>
    <col min="1221" max="1221" width="22.7109375" bestFit="1" customWidth="1"/>
    <col min="1222" max="1222" width="18.140625" bestFit="1" customWidth="1"/>
    <col min="1223" max="1223" width="18.7109375" bestFit="1" customWidth="1"/>
    <col min="1224" max="1224" width="28.7109375" bestFit="1" customWidth="1"/>
    <col min="1225" max="1225" width="28.42578125" bestFit="1" customWidth="1"/>
    <col min="1226" max="1226" width="17.42578125" bestFit="1" customWidth="1"/>
    <col min="1227" max="1227" width="8.85546875" bestFit="1" customWidth="1"/>
    <col min="1228" max="1228" width="20.140625" bestFit="1" customWidth="1"/>
    <col min="1229" max="1229" width="8.85546875" bestFit="1" customWidth="1"/>
    <col min="1230" max="1230" width="17.42578125" bestFit="1" customWidth="1"/>
    <col min="1231" max="1231" width="8.85546875" bestFit="1" customWidth="1"/>
    <col min="1232" max="1232" width="17.42578125" bestFit="1" customWidth="1"/>
    <col min="1233" max="1233" width="8.85546875" bestFit="1" customWidth="1"/>
    <col min="1234" max="1234" width="26.28515625" bestFit="1" customWidth="1"/>
    <col min="1235" max="1235" width="8.85546875" bestFit="1" customWidth="1"/>
    <col min="1236" max="1236" width="26" bestFit="1" customWidth="1"/>
    <col min="1237" max="1237" width="8.85546875" bestFit="1" customWidth="1"/>
    <col min="1238" max="1238" width="15" bestFit="1" customWidth="1"/>
    <col min="1239" max="1239" width="22.7109375" bestFit="1" customWidth="1"/>
    <col min="1240" max="1240" width="18.140625" bestFit="1" customWidth="1"/>
    <col min="1241" max="1241" width="18.7109375" bestFit="1" customWidth="1"/>
    <col min="1242" max="1242" width="28.7109375" bestFit="1" customWidth="1"/>
    <col min="1243" max="1243" width="28.42578125" bestFit="1" customWidth="1"/>
    <col min="1244" max="1244" width="37.5703125" bestFit="1" customWidth="1"/>
    <col min="1245" max="1245" width="7.85546875" bestFit="1" customWidth="1"/>
    <col min="1246" max="1246" width="37.5703125" bestFit="1" customWidth="1"/>
    <col min="1247" max="1247" width="7.85546875" bestFit="1" customWidth="1"/>
    <col min="1248" max="1248" width="37.5703125" bestFit="1" customWidth="1"/>
    <col min="1249" max="1249" width="7.85546875" bestFit="1" customWidth="1"/>
    <col min="1250" max="1250" width="37.5703125" bestFit="1" customWidth="1"/>
    <col min="1251" max="1251" width="7.85546875" bestFit="1" customWidth="1"/>
    <col min="1252" max="1252" width="37.5703125" bestFit="1" customWidth="1"/>
    <col min="1253" max="1253" width="7.85546875" bestFit="1" customWidth="1"/>
    <col min="1254" max="1254" width="37.5703125" bestFit="1" customWidth="1"/>
    <col min="1255" max="1255" width="7.85546875" bestFit="1" customWidth="1"/>
    <col min="1256" max="1256" width="15" bestFit="1" customWidth="1"/>
    <col min="1257" max="1257" width="22.7109375" bestFit="1" customWidth="1"/>
    <col min="1258" max="1258" width="18.140625" bestFit="1" customWidth="1"/>
    <col min="1259" max="1259" width="18.7109375" bestFit="1" customWidth="1"/>
    <col min="1260" max="1260" width="28.7109375" bestFit="1" customWidth="1"/>
    <col min="1261" max="1261" width="28.42578125" bestFit="1" customWidth="1"/>
    <col min="1262" max="1262" width="18" bestFit="1" customWidth="1"/>
    <col min="1263" max="1263" width="8.85546875" bestFit="1" customWidth="1"/>
    <col min="1264" max="1264" width="20.140625" bestFit="1" customWidth="1"/>
    <col min="1265" max="1265" width="8.85546875" bestFit="1" customWidth="1"/>
    <col min="1266" max="1266" width="18" bestFit="1" customWidth="1"/>
    <col min="1267" max="1267" width="8.85546875" bestFit="1" customWidth="1"/>
    <col min="1268" max="1268" width="18" bestFit="1" customWidth="1"/>
    <col min="1269" max="1269" width="8.85546875" bestFit="1" customWidth="1"/>
    <col min="1270" max="1270" width="26.28515625" bestFit="1" customWidth="1"/>
    <col min="1271" max="1271" width="8.85546875" bestFit="1" customWidth="1"/>
    <col min="1272" max="1272" width="26" bestFit="1" customWidth="1"/>
    <col min="1273" max="1273" width="8.85546875" bestFit="1" customWidth="1"/>
    <col min="1274" max="1274" width="15" bestFit="1" customWidth="1"/>
    <col min="1275" max="1275" width="22.7109375" bestFit="1" customWidth="1"/>
    <col min="1276" max="1276" width="18.140625" bestFit="1" customWidth="1"/>
    <col min="1277" max="1277" width="18.7109375" bestFit="1" customWidth="1"/>
    <col min="1278" max="1278" width="28.7109375" bestFit="1" customWidth="1"/>
    <col min="1279" max="1279" width="28.42578125" bestFit="1" customWidth="1"/>
    <col min="1280" max="1280" width="44.42578125" bestFit="1" customWidth="1"/>
    <col min="1281" max="1281" width="8.85546875" bestFit="1" customWidth="1"/>
    <col min="1282" max="1282" width="44.42578125" bestFit="1" customWidth="1"/>
    <col min="1283" max="1283" width="8.85546875" bestFit="1" customWidth="1"/>
    <col min="1284" max="1284" width="44.42578125" bestFit="1" customWidth="1"/>
    <col min="1285" max="1285" width="8.85546875" bestFit="1" customWidth="1"/>
    <col min="1286" max="1286" width="44.42578125" bestFit="1" customWidth="1"/>
    <col min="1287" max="1287" width="8.85546875" bestFit="1" customWidth="1"/>
    <col min="1288" max="1288" width="44.42578125" bestFit="1" customWidth="1"/>
    <col min="1289" max="1289" width="8.85546875" bestFit="1" customWidth="1"/>
    <col min="1290" max="1290" width="44.42578125" bestFit="1" customWidth="1"/>
    <col min="1291" max="1291" width="8.85546875" bestFit="1" customWidth="1"/>
    <col min="1292" max="1292" width="15" bestFit="1" customWidth="1"/>
    <col min="1293" max="1293" width="22.7109375" bestFit="1" customWidth="1"/>
    <col min="1294" max="1294" width="18.140625" bestFit="1" customWidth="1"/>
    <col min="1295" max="1295" width="18.7109375" bestFit="1" customWidth="1"/>
    <col min="1296" max="1296" width="28.7109375" bestFit="1" customWidth="1"/>
    <col min="1297" max="1297" width="28.42578125" bestFit="1" customWidth="1"/>
    <col min="1298" max="1298" width="22.42578125" bestFit="1" customWidth="1"/>
    <col min="1299" max="1299" width="8.85546875" bestFit="1" customWidth="1"/>
    <col min="1300" max="1300" width="22.42578125" bestFit="1" customWidth="1"/>
    <col min="1301" max="1301" width="8.85546875" bestFit="1" customWidth="1"/>
    <col min="1302" max="1302" width="22.42578125" bestFit="1" customWidth="1"/>
    <col min="1303" max="1303" width="8.85546875" bestFit="1" customWidth="1"/>
    <col min="1304" max="1304" width="22.42578125" bestFit="1" customWidth="1"/>
    <col min="1305" max="1305" width="8.85546875" bestFit="1" customWidth="1"/>
    <col min="1306" max="1306" width="26.28515625" bestFit="1" customWidth="1"/>
    <col min="1307" max="1307" width="8.85546875" bestFit="1" customWidth="1"/>
    <col min="1308" max="1308" width="26" bestFit="1" customWidth="1"/>
    <col min="1309" max="1309" width="8.85546875" bestFit="1" customWidth="1"/>
    <col min="1310" max="1310" width="16" bestFit="1" customWidth="1"/>
    <col min="1311" max="1311" width="23.7109375" bestFit="1" customWidth="1"/>
    <col min="1312" max="1312" width="19.140625" bestFit="1" customWidth="1"/>
    <col min="1313" max="1313" width="19.7109375" bestFit="1" customWidth="1"/>
    <col min="1314" max="1314" width="29.85546875" bestFit="1" customWidth="1"/>
    <col min="1315" max="1315" width="29.42578125" bestFit="1" customWidth="1"/>
    <col min="1316" max="1316" width="16.85546875" bestFit="1" customWidth="1"/>
    <col min="1317" max="1317" width="7.85546875" bestFit="1" customWidth="1"/>
    <col min="1318" max="1318" width="20.140625" bestFit="1" customWidth="1"/>
    <col min="1319" max="1319" width="7.85546875" bestFit="1" customWidth="1"/>
    <col min="1320" max="1320" width="16.85546875" bestFit="1" customWidth="1"/>
    <col min="1321" max="1321" width="7.85546875" bestFit="1" customWidth="1"/>
    <col min="1322" max="1322" width="16.85546875" bestFit="1" customWidth="1"/>
    <col min="1323" max="1323" width="7.85546875" bestFit="1" customWidth="1"/>
    <col min="1324" max="1324" width="26.28515625" bestFit="1" customWidth="1"/>
    <col min="1325" max="1325" width="7.85546875" bestFit="1" customWidth="1"/>
    <col min="1326" max="1326" width="26" bestFit="1" customWidth="1"/>
    <col min="1327" max="1327" width="7.85546875" bestFit="1" customWidth="1"/>
    <col min="1328" max="1328" width="16" bestFit="1" customWidth="1"/>
    <col min="1329" max="1329" width="23.7109375" bestFit="1" customWidth="1"/>
    <col min="1330" max="1330" width="19.140625" bestFit="1" customWidth="1"/>
    <col min="1331" max="1331" width="19.7109375" bestFit="1" customWidth="1"/>
    <col min="1332" max="1332" width="29.85546875" bestFit="1" customWidth="1"/>
    <col min="1333" max="1333" width="29.42578125" bestFit="1" customWidth="1"/>
    <col min="1334" max="1334" width="18.5703125" bestFit="1" customWidth="1"/>
    <col min="1335" max="1335" width="7.85546875" bestFit="1" customWidth="1"/>
    <col min="1336" max="1336" width="20.140625" bestFit="1" customWidth="1"/>
    <col min="1337" max="1337" width="7.85546875" bestFit="1" customWidth="1"/>
    <col min="1338" max="1338" width="18.5703125" bestFit="1" customWidth="1"/>
    <col min="1339" max="1339" width="7.85546875" bestFit="1" customWidth="1"/>
    <col min="1340" max="1340" width="18.5703125" bestFit="1" customWidth="1"/>
    <col min="1341" max="1341" width="7.85546875" bestFit="1" customWidth="1"/>
    <col min="1342" max="1342" width="26.28515625" bestFit="1" customWidth="1"/>
    <col min="1343" max="1343" width="7.85546875" bestFit="1" customWidth="1"/>
    <col min="1344" max="1344" width="26" bestFit="1" customWidth="1"/>
    <col min="1345" max="1345" width="7.85546875" bestFit="1" customWidth="1"/>
    <col min="1346" max="1346" width="16" bestFit="1" customWidth="1"/>
    <col min="1347" max="1347" width="23.7109375" bestFit="1" customWidth="1"/>
    <col min="1348" max="1348" width="19.140625" bestFit="1" customWidth="1"/>
    <col min="1349" max="1349" width="19.7109375" bestFit="1" customWidth="1"/>
    <col min="1350" max="1350" width="29.85546875" bestFit="1" customWidth="1"/>
    <col min="1351" max="1351" width="29.42578125" bestFit="1" customWidth="1"/>
    <col min="1352" max="1352" width="21.85546875" bestFit="1" customWidth="1"/>
    <col min="1353" max="1353" width="7.85546875" bestFit="1" customWidth="1"/>
    <col min="1354" max="1354" width="21.85546875" bestFit="1" customWidth="1"/>
    <col min="1355" max="1355" width="7.85546875" bestFit="1" customWidth="1"/>
    <col min="1356" max="1356" width="21.85546875" bestFit="1" customWidth="1"/>
    <col min="1357" max="1357" width="7.85546875" bestFit="1" customWidth="1"/>
    <col min="1358" max="1358" width="21.85546875" bestFit="1" customWidth="1"/>
    <col min="1359" max="1359" width="7.85546875" bestFit="1" customWidth="1"/>
    <col min="1360" max="1360" width="26.28515625" bestFit="1" customWidth="1"/>
    <col min="1361" max="1361" width="7.85546875" bestFit="1" customWidth="1"/>
    <col min="1362" max="1362" width="26" bestFit="1" customWidth="1"/>
    <col min="1363" max="1363" width="7.85546875" bestFit="1" customWidth="1"/>
    <col min="1364" max="1364" width="16" bestFit="1" customWidth="1"/>
    <col min="1365" max="1365" width="23.7109375" bestFit="1" customWidth="1"/>
    <col min="1366" max="1366" width="19.140625" bestFit="1" customWidth="1"/>
    <col min="1367" max="1367" width="19.7109375" bestFit="1" customWidth="1"/>
    <col min="1368" max="1368" width="29.85546875" bestFit="1" customWidth="1"/>
    <col min="1369" max="1369" width="29.42578125" bestFit="1" customWidth="1"/>
    <col min="1370" max="1370" width="20.7109375" bestFit="1" customWidth="1"/>
    <col min="1371" max="1371" width="7.85546875" bestFit="1" customWidth="1"/>
    <col min="1372" max="1372" width="20.7109375" bestFit="1" customWidth="1"/>
    <col min="1373" max="1373" width="7.85546875" bestFit="1" customWidth="1"/>
    <col min="1374" max="1374" width="20.7109375" bestFit="1" customWidth="1"/>
    <col min="1375" max="1375" width="7.85546875" bestFit="1" customWidth="1"/>
    <col min="1376" max="1376" width="20.7109375" bestFit="1" customWidth="1"/>
    <col min="1377" max="1377" width="7.85546875" bestFit="1" customWidth="1"/>
    <col min="1378" max="1378" width="26.28515625" bestFit="1" customWidth="1"/>
    <col min="1379" max="1379" width="7.85546875" bestFit="1" customWidth="1"/>
    <col min="1380" max="1380" width="26" bestFit="1" customWidth="1"/>
    <col min="1381" max="1381" width="7.85546875" bestFit="1" customWidth="1"/>
    <col min="1382" max="1382" width="16" bestFit="1" customWidth="1"/>
    <col min="1383" max="1383" width="23.7109375" bestFit="1" customWidth="1"/>
    <col min="1384" max="1384" width="19.140625" bestFit="1" customWidth="1"/>
    <col min="1385" max="1385" width="19.7109375" bestFit="1" customWidth="1"/>
    <col min="1386" max="1386" width="29.85546875" bestFit="1" customWidth="1"/>
    <col min="1387" max="1387" width="29.42578125" bestFit="1" customWidth="1"/>
    <col min="1388" max="1388" width="19.28515625" bestFit="1" customWidth="1"/>
    <col min="1389" max="1389" width="7.85546875" bestFit="1" customWidth="1"/>
    <col min="1390" max="1390" width="20.140625" bestFit="1" customWidth="1"/>
    <col min="1391" max="1391" width="7.85546875" bestFit="1" customWidth="1"/>
    <col min="1392" max="1392" width="19.28515625" bestFit="1" customWidth="1"/>
    <col min="1393" max="1393" width="7.85546875" bestFit="1" customWidth="1"/>
    <col min="1394" max="1394" width="19.28515625" bestFit="1" customWidth="1"/>
    <col min="1395" max="1395" width="7.85546875" bestFit="1" customWidth="1"/>
    <col min="1396" max="1396" width="26.28515625" bestFit="1" customWidth="1"/>
    <col min="1397" max="1397" width="7.85546875" bestFit="1" customWidth="1"/>
    <col min="1398" max="1398" width="26" bestFit="1" customWidth="1"/>
    <col min="1399" max="1399" width="7.85546875" bestFit="1" customWidth="1"/>
    <col min="1400" max="1400" width="16" bestFit="1" customWidth="1"/>
    <col min="1401" max="1401" width="23.7109375" bestFit="1" customWidth="1"/>
    <col min="1402" max="1402" width="19.140625" bestFit="1" customWidth="1"/>
    <col min="1403" max="1403" width="19.7109375" bestFit="1" customWidth="1"/>
    <col min="1404" max="1404" width="29.85546875" bestFit="1" customWidth="1"/>
    <col min="1405" max="1405" width="29.42578125" bestFit="1" customWidth="1"/>
    <col min="1406" max="1406" width="16.85546875" bestFit="1" customWidth="1"/>
    <col min="1407" max="1407" width="7.85546875" bestFit="1" customWidth="1"/>
    <col min="1408" max="1408" width="20.140625" bestFit="1" customWidth="1"/>
    <col min="1409" max="1409" width="7.85546875" bestFit="1" customWidth="1"/>
    <col min="1410" max="1410" width="16.85546875" bestFit="1" customWidth="1"/>
    <col min="1411" max="1411" width="7.85546875" bestFit="1" customWidth="1"/>
    <col min="1412" max="1412" width="16.85546875" bestFit="1" customWidth="1"/>
    <col min="1413" max="1413" width="7.85546875" bestFit="1" customWidth="1"/>
    <col min="1414" max="1414" width="26.28515625" bestFit="1" customWidth="1"/>
    <col min="1415" max="1415" width="7.85546875" bestFit="1" customWidth="1"/>
    <col min="1416" max="1416" width="26" bestFit="1" customWidth="1"/>
    <col min="1417" max="1417" width="7.85546875" bestFit="1" customWidth="1"/>
    <col min="1418" max="1418" width="16" bestFit="1" customWidth="1"/>
    <col min="1419" max="1419" width="23.7109375" bestFit="1" customWidth="1"/>
    <col min="1420" max="1420" width="19.140625" bestFit="1" customWidth="1"/>
    <col min="1421" max="1421" width="19.7109375" bestFit="1" customWidth="1"/>
    <col min="1422" max="1422" width="29.85546875" bestFit="1" customWidth="1"/>
    <col min="1423" max="1423" width="29.42578125" bestFit="1" customWidth="1"/>
    <col min="1424" max="1424" width="16.7109375" bestFit="1" customWidth="1"/>
    <col min="1425" max="1425" width="7.85546875" bestFit="1" customWidth="1"/>
    <col min="1426" max="1426" width="20.140625" bestFit="1" customWidth="1"/>
    <col min="1427" max="1427" width="7.85546875" bestFit="1" customWidth="1"/>
    <col min="1428" max="1428" width="16.7109375" bestFit="1" customWidth="1"/>
    <col min="1429" max="1429" width="7.85546875" bestFit="1" customWidth="1"/>
    <col min="1430" max="1430" width="16.7109375" bestFit="1" customWidth="1"/>
    <col min="1431" max="1431" width="7.85546875" bestFit="1" customWidth="1"/>
    <col min="1432" max="1432" width="26.28515625" bestFit="1" customWidth="1"/>
    <col min="1433" max="1433" width="7.85546875" bestFit="1" customWidth="1"/>
    <col min="1434" max="1434" width="26" bestFit="1" customWidth="1"/>
    <col min="1435" max="1435" width="7.85546875" bestFit="1" customWidth="1"/>
    <col min="1436" max="1436" width="16" bestFit="1" customWidth="1"/>
    <col min="1437" max="1437" width="23.7109375" bestFit="1" customWidth="1"/>
    <col min="1438" max="1438" width="19.140625" bestFit="1" customWidth="1"/>
    <col min="1439" max="1439" width="19.7109375" bestFit="1" customWidth="1"/>
    <col min="1440" max="1440" width="29.85546875" bestFit="1" customWidth="1"/>
    <col min="1441" max="1441" width="29.42578125" bestFit="1" customWidth="1"/>
    <col min="1442" max="1442" width="15" bestFit="1" customWidth="1"/>
    <col min="1443" max="1443" width="7.85546875" bestFit="1" customWidth="1"/>
    <col min="1444" max="1444" width="20.140625" bestFit="1" customWidth="1"/>
    <col min="1445" max="1445" width="7.85546875" bestFit="1" customWidth="1"/>
    <col min="1446" max="1446" width="15.5703125" bestFit="1" customWidth="1"/>
    <col min="1447" max="1447" width="7.85546875" bestFit="1" customWidth="1"/>
    <col min="1448" max="1448" width="16.140625" bestFit="1" customWidth="1"/>
    <col min="1449" max="1449" width="7.85546875" bestFit="1" customWidth="1"/>
    <col min="1450" max="1450" width="26.28515625" bestFit="1" customWidth="1"/>
    <col min="1451" max="1451" width="7.85546875" bestFit="1" customWidth="1"/>
    <col min="1452" max="1452" width="26" bestFit="1" customWidth="1"/>
    <col min="1453" max="1453" width="7.85546875" bestFit="1" customWidth="1"/>
    <col min="1454" max="1454" width="16" bestFit="1" customWidth="1"/>
    <col min="1455" max="1455" width="23.7109375" bestFit="1" customWidth="1"/>
    <col min="1456" max="1456" width="19.140625" bestFit="1" customWidth="1"/>
    <col min="1457" max="1457" width="19.7109375" bestFit="1" customWidth="1"/>
    <col min="1458" max="1458" width="29.85546875" bestFit="1" customWidth="1"/>
    <col min="1459" max="1459" width="29.42578125" bestFit="1" customWidth="1"/>
    <col min="1460" max="1460" width="23" bestFit="1" customWidth="1"/>
    <col min="1461" max="1461" width="7.85546875" bestFit="1" customWidth="1"/>
    <col min="1462" max="1462" width="23" bestFit="1" customWidth="1"/>
    <col min="1463" max="1463" width="7.85546875" bestFit="1" customWidth="1"/>
    <col min="1464" max="1464" width="23" bestFit="1" customWidth="1"/>
    <col min="1465" max="1465" width="7.85546875" bestFit="1" customWidth="1"/>
    <col min="1466" max="1466" width="23" bestFit="1" customWidth="1"/>
    <col min="1467" max="1467" width="7.85546875" bestFit="1" customWidth="1"/>
    <col min="1468" max="1468" width="26.28515625" bestFit="1" customWidth="1"/>
    <col min="1469" max="1469" width="7.85546875" bestFit="1" customWidth="1"/>
    <col min="1470" max="1470" width="26" bestFit="1" customWidth="1"/>
    <col min="1471" max="1471" width="7.85546875" bestFit="1" customWidth="1"/>
    <col min="1472" max="1472" width="16" bestFit="1" customWidth="1"/>
    <col min="1473" max="1473" width="23.7109375" bestFit="1" customWidth="1"/>
    <col min="1474" max="1474" width="19.140625" bestFit="1" customWidth="1"/>
    <col min="1475" max="1475" width="19.7109375" bestFit="1" customWidth="1"/>
    <col min="1476" max="1476" width="29.85546875" bestFit="1" customWidth="1"/>
    <col min="1477" max="1477" width="29.42578125" bestFit="1" customWidth="1"/>
    <col min="1478" max="1478" width="20.28515625" bestFit="1" customWidth="1"/>
    <col min="1479" max="1479" width="7.85546875" bestFit="1" customWidth="1"/>
    <col min="1480" max="1480" width="20.28515625" bestFit="1" customWidth="1"/>
    <col min="1481" max="1481" width="7.85546875" bestFit="1" customWidth="1"/>
    <col min="1482" max="1482" width="20.28515625" bestFit="1" customWidth="1"/>
    <col min="1483" max="1483" width="7.85546875" bestFit="1" customWidth="1"/>
    <col min="1484" max="1484" width="20.28515625" bestFit="1" customWidth="1"/>
    <col min="1485" max="1485" width="7.85546875" bestFit="1" customWidth="1"/>
    <col min="1486" max="1486" width="26.28515625" bestFit="1" customWidth="1"/>
    <col min="1487" max="1487" width="7.85546875" bestFit="1" customWidth="1"/>
    <col min="1488" max="1488" width="26" bestFit="1" customWidth="1"/>
    <col min="1489" max="1489" width="7.85546875" bestFit="1" customWidth="1"/>
    <col min="1490" max="1490" width="16" bestFit="1" customWidth="1"/>
    <col min="1491" max="1491" width="23.7109375" bestFit="1" customWidth="1"/>
    <col min="1492" max="1492" width="19.140625" bestFit="1" customWidth="1"/>
    <col min="1493" max="1493" width="19.7109375" bestFit="1" customWidth="1"/>
    <col min="1494" max="1494" width="29.85546875" bestFit="1" customWidth="1"/>
    <col min="1495" max="1495" width="29.42578125" bestFit="1" customWidth="1"/>
    <col min="1496" max="1496" width="17.5703125" bestFit="1" customWidth="1"/>
    <col min="1497" max="1497" width="7.85546875" bestFit="1" customWidth="1"/>
    <col min="1498" max="1498" width="20.140625" bestFit="1" customWidth="1"/>
    <col min="1499" max="1499" width="7.85546875" bestFit="1" customWidth="1"/>
    <col min="1500" max="1500" width="17.5703125" bestFit="1" customWidth="1"/>
    <col min="1501" max="1501" width="7.85546875" bestFit="1" customWidth="1"/>
    <col min="1502" max="1502" width="17.5703125" bestFit="1" customWidth="1"/>
    <col min="1503" max="1503" width="7.85546875" bestFit="1" customWidth="1"/>
    <col min="1504" max="1504" width="26.28515625" bestFit="1" customWidth="1"/>
    <col min="1505" max="1505" width="7.85546875" bestFit="1" customWidth="1"/>
    <col min="1506" max="1506" width="26" bestFit="1" customWidth="1"/>
    <col min="1507" max="1507" width="7.85546875" bestFit="1" customWidth="1"/>
    <col min="1508" max="1508" width="16" bestFit="1" customWidth="1"/>
    <col min="1509" max="1509" width="23.7109375" bestFit="1" customWidth="1"/>
    <col min="1510" max="1510" width="19.140625" bestFit="1" customWidth="1"/>
    <col min="1511" max="1511" width="19.7109375" bestFit="1" customWidth="1"/>
    <col min="1512" max="1512" width="29.85546875" bestFit="1" customWidth="1"/>
    <col min="1513" max="1513" width="29.42578125" bestFit="1" customWidth="1"/>
    <col min="1514" max="1514" width="20.28515625" bestFit="1" customWidth="1"/>
    <col min="1515" max="1515" width="7.85546875" bestFit="1" customWidth="1"/>
    <col min="1516" max="1516" width="20.28515625" bestFit="1" customWidth="1"/>
    <col min="1517" max="1517" width="7.85546875" bestFit="1" customWidth="1"/>
    <col min="1518" max="1518" width="20.28515625" bestFit="1" customWidth="1"/>
    <col min="1519" max="1519" width="7.85546875" bestFit="1" customWidth="1"/>
    <col min="1520" max="1520" width="20.28515625" bestFit="1" customWidth="1"/>
    <col min="1521" max="1521" width="7.85546875" bestFit="1" customWidth="1"/>
    <col min="1522" max="1522" width="26.28515625" bestFit="1" customWidth="1"/>
    <col min="1523" max="1523" width="7.85546875" bestFit="1" customWidth="1"/>
    <col min="1524" max="1524" width="26" bestFit="1" customWidth="1"/>
    <col min="1525" max="1525" width="7.85546875" bestFit="1" customWidth="1"/>
    <col min="1526" max="1526" width="16" bestFit="1" customWidth="1"/>
    <col min="1527" max="1527" width="23.7109375" bestFit="1" customWidth="1"/>
    <col min="1528" max="1528" width="19.140625" bestFit="1" customWidth="1"/>
    <col min="1529" max="1529" width="19.7109375" bestFit="1" customWidth="1"/>
    <col min="1530" max="1530" width="29.85546875" bestFit="1" customWidth="1"/>
    <col min="1531" max="1531" width="29.42578125" bestFit="1" customWidth="1"/>
    <col min="1532" max="1532" width="25.28515625" bestFit="1" customWidth="1"/>
    <col min="1533" max="1533" width="8.85546875" bestFit="1" customWidth="1"/>
    <col min="1534" max="1534" width="25.28515625" bestFit="1" customWidth="1"/>
    <col min="1535" max="1535" width="8.85546875" bestFit="1" customWidth="1"/>
    <col min="1536" max="1536" width="25.28515625" bestFit="1" customWidth="1"/>
    <col min="1537" max="1537" width="8.85546875" bestFit="1" customWidth="1"/>
    <col min="1538" max="1538" width="25.28515625" bestFit="1" customWidth="1"/>
    <col min="1539" max="1539" width="8.85546875" bestFit="1" customWidth="1"/>
    <col min="1540" max="1540" width="26.28515625" bestFit="1" customWidth="1"/>
    <col min="1541" max="1541" width="8.85546875" bestFit="1" customWidth="1"/>
    <col min="1542" max="1542" width="26" bestFit="1" customWidth="1"/>
    <col min="1543" max="1543" width="8.85546875" bestFit="1" customWidth="1"/>
    <col min="1544" max="1544" width="16" bestFit="1" customWidth="1"/>
    <col min="1545" max="1545" width="23.7109375" bestFit="1" customWidth="1"/>
    <col min="1546" max="1546" width="19.140625" bestFit="1" customWidth="1"/>
    <col min="1547" max="1547" width="19.7109375" bestFit="1" customWidth="1"/>
    <col min="1548" max="1548" width="29.85546875" bestFit="1" customWidth="1"/>
    <col min="1549" max="1549" width="29.42578125" bestFit="1" customWidth="1"/>
    <col min="1550" max="1550" width="16.28515625" bestFit="1" customWidth="1"/>
    <col min="1551" max="1551" width="7.85546875" bestFit="1" customWidth="1"/>
    <col min="1552" max="1552" width="20.140625" bestFit="1" customWidth="1"/>
    <col min="1553" max="1553" width="7.85546875" bestFit="1" customWidth="1"/>
    <col min="1554" max="1554" width="16.28515625" bestFit="1" customWidth="1"/>
    <col min="1555" max="1555" width="7.85546875" bestFit="1" customWidth="1"/>
    <col min="1556" max="1556" width="16.28515625" bestFit="1" customWidth="1"/>
    <col min="1557" max="1557" width="7.85546875" bestFit="1" customWidth="1"/>
    <col min="1558" max="1558" width="26.28515625" bestFit="1" customWidth="1"/>
    <col min="1559" max="1559" width="7.85546875" bestFit="1" customWidth="1"/>
    <col min="1560" max="1560" width="26" bestFit="1" customWidth="1"/>
    <col min="1561" max="1561" width="7.85546875" bestFit="1" customWidth="1"/>
    <col min="1562" max="1562" width="16" bestFit="1" customWidth="1"/>
    <col min="1563" max="1563" width="23.7109375" bestFit="1" customWidth="1"/>
    <col min="1564" max="1564" width="19.140625" bestFit="1" customWidth="1"/>
    <col min="1565" max="1565" width="19.7109375" bestFit="1" customWidth="1"/>
    <col min="1566" max="1566" width="29.85546875" bestFit="1" customWidth="1"/>
    <col min="1567" max="1567" width="29.42578125" bestFit="1" customWidth="1"/>
    <col min="1568" max="1568" width="20" bestFit="1" customWidth="1"/>
    <col min="1569" max="1569" width="8.85546875" bestFit="1" customWidth="1"/>
    <col min="1570" max="1570" width="20.140625" bestFit="1" customWidth="1"/>
    <col min="1571" max="1571" width="8.85546875" bestFit="1" customWidth="1"/>
    <col min="1572" max="1572" width="20" bestFit="1" customWidth="1"/>
    <col min="1573" max="1573" width="8.85546875" bestFit="1" customWidth="1"/>
    <col min="1574" max="1574" width="20" bestFit="1" customWidth="1"/>
    <col min="1575" max="1575" width="8.85546875" bestFit="1" customWidth="1"/>
    <col min="1576" max="1576" width="26.28515625" bestFit="1" customWidth="1"/>
    <col min="1577" max="1577" width="8.85546875" bestFit="1" customWidth="1"/>
    <col min="1578" max="1578" width="26" bestFit="1" customWidth="1"/>
    <col min="1579" max="1579" width="8.85546875" bestFit="1" customWidth="1"/>
    <col min="1580" max="1580" width="16" bestFit="1" customWidth="1"/>
    <col min="1581" max="1581" width="23.7109375" bestFit="1" customWidth="1"/>
    <col min="1582" max="1582" width="19.140625" bestFit="1" customWidth="1"/>
    <col min="1583" max="1583" width="19.7109375" bestFit="1" customWidth="1"/>
    <col min="1584" max="1584" width="29.85546875" bestFit="1" customWidth="1"/>
    <col min="1585" max="1585" width="29.42578125" bestFit="1" customWidth="1"/>
    <col min="1586" max="1586" width="23.28515625" bestFit="1" customWidth="1"/>
    <col min="1587" max="1587" width="7.85546875" bestFit="1" customWidth="1"/>
    <col min="1588" max="1588" width="23.28515625" bestFit="1" customWidth="1"/>
    <col min="1589" max="1589" width="7.85546875" bestFit="1" customWidth="1"/>
    <col min="1590" max="1590" width="23.28515625" bestFit="1" customWidth="1"/>
    <col min="1591" max="1591" width="7.85546875" bestFit="1" customWidth="1"/>
    <col min="1592" max="1592" width="23.28515625" bestFit="1" customWidth="1"/>
    <col min="1593" max="1593" width="7.85546875" bestFit="1" customWidth="1"/>
    <col min="1594" max="1594" width="26.28515625" bestFit="1" customWidth="1"/>
    <col min="1595" max="1595" width="7.85546875" bestFit="1" customWidth="1"/>
    <col min="1596" max="1596" width="26" bestFit="1" customWidth="1"/>
    <col min="1597" max="1597" width="7.85546875" bestFit="1" customWidth="1"/>
    <col min="1598" max="1598" width="16" bestFit="1" customWidth="1"/>
    <col min="1599" max="1599" width="23.7109375" bestFit="1" customWidth="1"/>
    <col min="1600" max="1600" width="19.140625" bestFit="1" customWidth="1"/>
    <col min="1601" max="1601" width="19.7109375" bestFit="1" customWidth="1"/>
    <col min="1602" max="1602" width="29.85546875" bestFit="1" customWidth="1"/>
    <col min="1603" max="1603" width="29.42578125" bestFit="1" customWidth="1"/>
    <col min="1604" max="1604" width="24" bestFit="1" customWidth="1"/>
    <col min="1605" max="1605" width="7.85546875" bestFit="1" customWidth="1"/>
    <col min="1606" max="1606" width="22" bestFit="1" customWidth="1"/>
    <col min="1607" max="1607" width="7.85546875" bestFit="1" customWidth="1"/>
    <col min="1608" max="1608" width="24" bestFit="1" customWidth="1"/>
    <col min="1609" max="1609" width="7.85546875" bestFit="1" customWidth="1"/>
    <col min="1610" max="1610" width="22" bestFit="1" customWidth="1"/>
    <col min="1611" max="1611" width="7.85546875" bestFit="1" customWidth="1"/>
    <col min="1612" max="1612" width="24" bestFit="1" customWidth="1"/>
    <col min="1613" max="1613" width="7.85546875" bestFit="1" customWidth="1"/>
    <col min="1614" max="1614" width="22" bestFit="1" customWidth="1"/>
    <col min="1615" max="1615" width="7.85546875" bestFit="1" customWidth="1"/>
    <col min="1616" max="1616" width="24" bestFit="1" customWidth="1"/>
    <col min="1617" max="1617" width="7.85546875" bestFit="1" customWidth="1"/>
    <col min="1618" max="1618" width="22" bestFit="1" customWidth="1"/>
    <col min="1619" max="1619" width="7.85546875" bestFit="1" customWidth="1"/>
    <col min="1620" max="1620" width="26.28515625" bestFit="1" customWidth="1"/>
    <col min="1621" max="1621" width="7.85546875" bestFit="1" customWidth="1"/>
    <col min="1622" max="1622" width="22" bestFit="1" customWidth="1"/>
    <col min="1623" max="1623" width="7.85546875" bestFit="1" customWidth="1"/>
    <col min="1624" max="1624" width="26" bestFit="1" customWidth="1"/>
    <col min="1625" max="1625" width="7.85546875" bestFit="1" customWidth="1"/>
    <col min="1626" max="1626" width="22" bestFit="1" customWidth="1"/>
    <col min="1627" max="1627" width="7.85546875" bestFit="1" customWidth="1"/>
    <col min="1628" max="1628" width="16" bestFit="1" customWidth="1"/>
    <col min="1629" max="1629" width="23.7109375" bestFit="1" customWidth="1"/>
    <col min="1630" max="1630" width="19.140625" bestFit="1" customWidth="1"/>
    <col min="1631" max="1631" width="19.7109375" bestFit="1" customWidth="1"/>
    <col min="1632" max="1632" width="29.85546875" bestFit="1" customWidth="1"/>
    <col min="1633" max="1633" width="29.42578125" bestFit="1" customWidth="1"/>
    <col min="1634" max="1634" width="19.7109375" bestFit="1" customWidth="1"/>
    <col min="1635" max="1635" width="7.85546875" bestFit="1" customWidth="1"/>
    <col min="1636" max="1636" width="20.140625" bestFit="1" customWidth="1"/>
    <col min="1637" max="1637" width="7.85546875" bestFit="1" customWidth="1"/>
    <col min="1638" max="1638" width="19.7109375" bestFit="1" customWidth="1"/>
    <col min="1639" max="1639" width="7.85546875" bestFit="1" customWidth="1"/>
    <col min="1640" max="1640" width="19.7109375" bestFit="1" customWidth="1"/>
    <col min="1641" max="1641" width="7.85546875" bestFit="1" customWidth="1"/>
    <col min="1642" max="1642" width="26.28515625" bestFit="1" customWidth="1"/>
    <col min="1643" max="1643" width="7.85546875" bestFit="1" customWidth="1"/>
    <col min="1644" max="1644" width="26" bestFit="1" customWidth="1"/>
    <col min="1645" max="1645" width="7.85546875" bestFit="1" customWidth="1"/>
    <col min="1646" max="1646" width="16" bestFit="1" customWidth="1"/>
    <col min="1647" max="1647" width="23.7109375" bestFit="1" customWidth="1"/>
    <col min="1648" max="1648" width="19.140625" bestFit="1" customWidth="1"/>
    <col min="1649" max="1649" width="19.7109375" bestFit="1" customWidth="1"/>
    <col min="1650" max="1650" width="29.85546875" bestFit="1" customWidth="1"/>
    <col min="1651" max="1651" width="29.42578125" bestFit="1" customWidth="1"/>
    <col min="1652" max="1652" width="19.5703125" bestFit="1" customWidth="1"/>
    <col min="1653" max="1653" width="7.85546875" bestFit="1" customWidth="1"/>
    <col min="1654" max="1654" width="20.140625" bestFit="1" customWidth="1"/>
    <col min="1655" max="1655" width="7.85546875" bestFit="1" customWidth="1"/>
    <col min="1656" max="1656" width="19.5703125" bestFit="1" customWidth="1"/>
    <col min="1657" max="1657" width="7.85546875" bestFit="1" customWidth="1"/>
    <col min="1658" max="1658" width="19.5703125" bestFit="1" customWidth="1"/>
    <col min="1659" max="1659" width="7.85546875" bestFit="1" customWidth="1"/>
    <col min="1660" max="1660" width="26.28515625" bestFit="1" customWidth="1"/>
    <col min="1661" max="1661" width="7.85546875" bestFit="1" customWidth="1"/>
    <col min="1662" max="1662" width="26" bestFit="1" customWidth="1"/>
    <col min="1663" max="1663" width="7.85546875" bestFit="1" customWidth="1"/>
    <col min="1664" max="1664" width="16" bestFit="1" customWidth="1"/>
    <col min="1665" max="1665" width="23.7109375" bestFit="1" customWidth="1"/>
    <col min="1666" max="1666" width="19.140625" bestFit="1" customWidth="1"/>
    <col min="1667" max="1667" width="19.7109375" bestFit="1" customWidth="1"/>
    <col min="1668" max="1668" width="29.85546875" bestFit="1" customWidth="1"/>
    <col min="1669" max="1669" width="29.42578125" bestFit="1" customWidth="1"/>
    <col min="1670" max="1670" width="22.42578125" bestFit="1" customWidth="1"/>
    <col min="1671" max="1671" width="7.85546875" bestFit="1" customWidth="1"/>
    <col min="1672" max="1672" width="16.7109375" bestFit="1" customWidth="1"/>
    <col min="1673" max="1673" width="7.85546875" bestFit="1" customWidth="1"/>
    <col min="1674" max="1674" width="24" bestFit="1" customWidth="1"/>
    <col min="1675" max="1675" width="7.85546875" bestFit="1" customWidth="1"/>
    <col min="1676" max="1676" width="22.42578125" bestFit="1" customWidth="1"/>
    <col min="1677" max="1677" width="7.85546875" bestFit="1" customWidth="1"/>
    <col min="1678" max="1678" width="16.7109375" bestFit="1" customWidth="1"/>
    <col min="1679" max="1679" width="7.85546875" bestFit="1" customWidth="1"/>
    <col min="1680" max="1680" width="24" bestFit="1" customWidth="1"/>
    <col min="1681" max="1681" width="7.85546875" bestFit="1" customWidth="1"/>
    <col min="1682" max="1682" width="22.42578125" bestFit="1" customWidth="1"/>
    <col min="1683" max="1683" width="7.85546875" bestFit="1" customWidth="1"/>
    <col min="1684" max="1684" width="16.7109375" bestFit="1" customWidth="1"/>
    <col min="1685" max="1685" width="7.85546875" bestFit="1" customWidth="1"/>
    <col min="1686" max="1686" width="24" bestFit="1" customWidth="1"/>
    <col min="1687" max="1687" width="7.85546875" bestFit="1" customWidth="1"/>
    <col min="1688" max="1688" width="22.42578125" bestFit="1" customWidth="1"/>
    <col min="1689" max="1689" width="7.85546875" bestFit="1" customWidth="1"/>
    <col min="1690" max="1690" width="16.7109375" bestFit="1" customWidth="1"/>
    <col min="1691" max="1691" width="7.85546875" bestFit="1" customWidth="1"/>
    <col min="1692" max="1692" width="24" bestFit="1" customWidth="1"/>
    <col min="1693" max="1693" width="7.85546875" bestFit="1" customWidth="1"/>
    <col min="1694" max="1694" width="26.28515625" bestFit="1" customWidth="1"/>
    <col min="1695" max="1695" width="7.85546875" bestFit="1" customWidth="1"/>
    <col min="1696" max="1696" width="16.7109375" bestFit="1" customWidth="1"/>
    <col min="1697" max="1697" width="7.85546875" bestFit="1" customWidth="1"/>
    <col min="1698" max="1698" width="24" bestFit="1" customWidth="1"/>
    <col min="1699" max="1699" width="7.85546875" bestFit="1" customWidth="1"/>
    <col min="1700" max="1700" width="26" bestFit="1" customWidth="1"/>
    <col min="1701" max="1701" width="7.85546875" bestFit="1" customWidth="1"/>
    <col min="1702" max="1702" width="16.7109375" bestFit="1" customWidth="1"/>
    <col min="1703" max="1703" width="7.85546875" bestFit="1" customWidth="1"/>
    <col min="1704" max="1704" width="24" bestFit="1" customWidth="1"/>
    <col min="1705" max="1705" width="7.85546875" bestFit="1" customWidth="1"/>
    <col min="1706" max="1706" width="16" bestFit="1" customWidth="1"/>
    <col min="1707" max="1707" width="23.7109375" bestFit="1" customWidth="1"/>
    <col min="1708" max="1708" width="19.140625" bestFit="1" customWidth="1"/>
    <col min="1709" max="1709" width="19.7109375" bestFit="1" customWidth="1"/>
    <col min="1710" max="1710" width="29.85546875" bestFit="1" customWidth="1"/>
    <col min="1711" max="1711" width="29.42578125" bestFit="1" customWidth="1"/>
    <col min="1712" max="1712" width="17.5703125" bestFit="1" customWidth="1"/>
    <col min="1713" max="1713" width="25.140625" bestFit="1" customWidth="1"/>
    <col min="1714" max="1714" width="20.5703125" bestFit="1" customWidth="1"/>
    <col min="1715" max="1715" width="21.140625" bestFit="1" customWidth="1"/>
    <col min="1716" max="1716" width="31.28515625" bestFit="1" customWidth="1"/>
    <col min="1717" max="1717" width="31"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7" t="s">
        <v>135</v>
      </c>
      <c r="P1" s="7"/>
    </row>
    <row r="2" spans="1:16">
      <c r="A2" s="1">
        <v>1</v>
      </c>
      <c r="B2" s="1" t="s">
        <v>14</v>
      </c>
      <c r="C2" s="1" t="s">
        <v>15</v>
      </c>
      <c r="D2" s="1">
        <v>1</v>
      </c>
      <c r="E2" s="1">
        <v>2</v>
      </c>
      <c r="F2" s="1">
        <v>1</v>
      </c>
      <c r="G2" s="1">
        <v>1</v>
      </c>
      <c r="H2" s="1">
        <v>1</v>
      </c>
      <c r="I2" s="1">
        <v>1</v>
      </c>
      <c r="J2" s="1">
        <v>1</v>
      </c>
      <c r="K2" s="1">
        <v>1</v>
      </c>
      <c r="L2" s="1">
        <v>100</v>
      </c>
      <c r="M2" s="1">
        <v>39.783730400000003</v>
      </c>
      <c r="N2" s="1">
        <v>-100.445882</v>
      </c>
      <c r="O2" t="str">
        <f>IF(L2&gt;90,"HIGH",IF(L2&gt;80,"MEDIUM","LOW"))</f>
        <v>HIGH</v>
      </c>
    </row>
    <row r="3" spans="1:16">
      <c r="A3" s="1">
        <v>2</v>
      </c>
      <c r="B3" s="1" t="s">
        <v>16</v>
      </c>
      <c r="C3" s="1" t="s">
        <v>15</v>
      </c>
      <c r="D3" s="1">
        <v>2</v>
      </c>
      <c r="E3" s="1">
        <v>10</v>
      </c>
      <c r="F3" s="1">
        <v>3</v>
      </c>
      <c r="G3" s="1">
        <v>2</v>
      </c>
      <c r="H3" s="1">
        <v>10</v>
      </c>
      <c r="I3" s="1">
        <v>4</v>
      </c>
      <c r="J3" s="1">
        <v>3</v>
      </c>
      <c r="K3" s="1">
        <v>2</v>
      </c>
      <c r="L3" s="1">
        <v>96.7</v>
      </c>
      <c r="M3" s="1">
        <v>39.783730400000003</v>
      </c>
      <c r="N3" s="1">
        <v>-100.445882</v>
      </c>
      <c r="O3" t="str">
        <f t="shared" ref="O3:O66" si="0">IF(L3&gt;90,"HIGH",IF(L3&gt;80,"MEDIUM","LOW"))</f>
        <v>HIGH</v>
      </c>
    </row>
    <row r="4" spans="1:16">
      <c r="A4" s="1">
        <v>3</v>
      </c>
      <c r="B4" s="1" t="s">
        <v>17</v>
      </c>
      <c r="C4" s="1" t="s">
        <v>15</v>
      </c>
      <c r="D4" s="1">
        <v>3</v>
      </c>
      <c r="E4" s="1">
        <v>3</v>
      </c>
      <c r="F4" s="1">
        <v>11</v>
      </c>
      <c r="G4" s="1">
        <v>3</v>
      </c>
      <c r="H4" s="1">
        <v>30</v>
      </c>
      <c r="I4" s="1">
        <v>15</v>
      </c>
      <c r="J4" s="1">
        <v>2</v>
      </c>
      <c r="K4" s="1">
        <v>6</v>
      </c>
      <c r="L4" s="1">
        <v>95.1</v>
      </c>
      <c r="M4" s="1">
        <v>39.783730400000003</v>
      </c>
      <c r="N4" s="1">
        <v>-100.445882</v>
      </c>
      <c r="O4" t="str">
        <f t="shared" si="0"/>
        <v>HIGH</v>
      </c>
    </row>
    <row r="5" spans="1:16">
      <c r="A5" s="1">
        <v>4</v>
      </c>
      <c r="B5" s="1" t="s">
        <v>18</v>
      </c>
      <c r="C5" s="1" t="s">
        <v>19</v>
      </c>
      <c r="D5" s="1">
        <v>1</v>
      </c>
      <c r="E5" s="1">
        <v>5</v>
      </c>
      <c r="F5" s="1">
        <v>19</v>
      </c>
      <c r="G5" s="1">
        <v>6</v>
      </c>
      <c r="H5" s="1">
        <v>12</v>
      </c>
      <c r="I5" s="1">
        <v>8</v>
      </c>
      <c r="J5" s="1">
        <v>6</v>
      </c>
      <c r="K5" s="1">
        <v>19</v>
      </c>
      <c r="L5" s="1">
        <v>94</v>
      </c>
      <c r="M5" s="1">
        <v>54.702354499999998</v>
      </c>
      <c r="N5" s="1">
        <v>-3.2765753000000002</v>
      </c>
      <c r="O5" t="str">
        <f t="shared" si="0"/>
        <v>HIGH</v>
      </c>
    </row>
    <row r="6" spans="1:16">
      <c r="A6" s="1">
        <v>5</v>
      </c>
      <c r="B6" s="1" t="s">
        <v>20</v>
      </c>
      <c r="C6" s="1" t="s">
        <v>19</v>
      </c>
      <c r="D6" s="1">
        <v>2</v>
      </c>
      <c r="E6" s="1">
        <v>9</v>
      </c>
      <c r="F6" s="1">
        <v>25</v>
      </c>
      <c r="G6" s="1">
        <v>10</v>
      </c>
      <c r="H6" s="1">
        <v>9</v>
      </c>
      <c r="I6" s="1">
        <v>5</v>
      </c>
      <c r="J6" s="1">
        <v>7</v>
      </c>
      <c r="K6" s="1">
        <v>4</v>
      </c>
      <c r="L6" s="1">
        <v>93.2</v>
      </c>
      <c r="M6" s="1">
        <v>54.702354499999998</v>
      </c>
      <c r="N6" s="1">
        <v>-3.2765753000000002</v>
      </c>
      <c r="O6" t="str">
        <f t="shared" si="0"/>
        <v>HIGH</v>
      </c>
    </row>
    <row r="7" spans="1:16">
      <c r="A7" s="1">
        <v>6</v>
      </c>
      <c r="B7" s="1" t="s">
        <v>21</v>
      </c>
      <c r="C7" s="1" t="s">
        <v>15</v>
      </c>
      <c r="D7" s="1">
        <v>4</v>
      </c>
      <c r="E7" s="1">
        <v>7</v>
      </c>
      <c r="F7" s="1">
        <v>52</v>
      </c>
      <c r="G7" s="1">
        <v>5</v>
      </c>
      <c r="H7" s="1">
        <v>18</v>
      </c>
      <c r="I7" s="1">
        <v>12</v>
      </c>
      <c r="J7" s="1">
        <v>4</v>
      </c>
      <c r="K7" s="1">
        <v>8</v>
      </c>
      <c r="L7" s="1">
        <v>92.5</v>
      </c>
      <c r="M7" s="1">
        <v>39.783730400000003</v>
      </c>
      <c r="N7" s="1">
        <v>-100.445882</v>
      </c>
      <c r="O7" t="str">
        <f t="shared" si="0"/>
        <v>HIGH</v>
      </c>
    </row>
    <row r="8" spans="1:16">
      <c r="A8" s="1">
        <v>7</v>
      </c>
      <c r="B8" s="1" t="s">
        <v>22</v>
      </c>
      <c r="C8" s="1" t="s">
        <v>15</v>
      </c>
      <c r="D8" s="1">
        <v>5</v>
      </c>
      <c r="E8" s="1">
        <v>4</v>
      </c>
      <c r="F8" s="1">
        <v>15</v>
      </c>
      <c r="G8" s="1">
        <v>4</v>
      </c>
      <c r="H8" s="1">
        <v>146</v>
      </c>
      <c r="I8" s="1">
        <v>99</v>
      </c>
      <c r="J8" s="1">
        <v>28</v>
      </c>
      <c r="K8" s="1">
        <v>27</v>
      </c>
      <c r="L8" s="1">
        <v>91.9</v>
      </c>
      <c r="M8" s="1">
        <v>39.783730400000003</v>
      </c>
      <c r="N8" s="1">
        <v>-100.445882</v>
      </c>
      <c r="O8" t="str">
        <f t="shared" si="0"/>
        <v>HIGH</v>
      </c>
    </row>
    <row r="9" spans="1:16">
      <c r="A9" s="1">
        <v>8</v>
      </c>
      <c r="B9" s="1" t="s">
        <v>23</v>
      </c>
      <c r="C9" s="1" t="s">
        <v>15</v>
      </c>
      <c r="D9" s="1">
        <v>6</v>
      </c>
      <c r="E9" s="1">
        <v>16</v>
      </c>
      <c r="F9" s="1">
        <v>13</v>
      </c>
      <c r="G9" s="1">
        <v>8</v>
      </c>
      <c r="H9" s="1">
        <v>20</v>
      </c>
      <c r="I9" s="1">
        <v>14</v>
      </c>
      <c r="J9" s="1">
        <v>10</v>
      </c>
      <c r="K9" s="1">
        <v>10</v>
      </c>
      <c r="L9" s="1">
        <v>91.4</v>
      </c>
      <c r="M9" s="1">
        <v>39.783730400000003</v>
      </c>
      <c r="N9" s="1">
        <v>-100.445882</v>
      </c>
      <c r="O9" t="str">
        <f t="shared" si="0"/>
        <v>HIGH</v>
      </c>
    </row>
    <row r="10" spans="1:16">
      <c r="A10" s="1">
        <v>9</v>
      </c>
      <c r="B10" s="1" t="s">
        <v>24</v>
      </c>
      <c r="C10" s="1" t="s">
        <v>15</v>
      </c>
      <c r="D10" s="1">
        <v>7</v>
      </c>
      <c r="E10" s="1">
        <v>1</v>
      </c>
      <c r="F10" s="1">
        <v>200</v>
      </c>
      <c r="G10" s="1">
        <v>7</v>
      </c>
      <c r="H10" s="1">
        <v>127</v>
      </c>
      <c r="I10" s="1">
        <v>81</v>
      </c>
      <c r="J10" s="1">
        <v>13</v>
      </c>
      <c r="K10" s="1">
        <v>31</v>
      </c>
      <c r="L10" s="1">
        <v>91</v>
      </c>
      <c r="M10" s="1">
        <v>39.783730400000003</v>
      </c>
      <c r="N10" s="1">
        <v>-100.445882</v>
      </c>
      <c r="O10" t="str">
        <f t="shared" si="0"/>
        <v>HIGH</v>
      </c>
    </row>
    <row r="11" spans="1:16">
      <c r="A11" s="1">
        <v>10</v>
      </c>
      <c r="B11" s="1" t="s">
        <v>25</v>
      </c>
      <c r="C11" s="1" t="s">
        <v>15</v>
      </c>
      <c r="D11" s="1">
        <v>8</v>
      </c>
      <c r="E11" s="1">
        <v>13</v>
      </c>
      <c r="F11" s="1">
        <v>22</v>
      </c>
      <c r="G11" s="1">
        <v>9</v>
      </c>
      <c r="H11" s="1">
        <v>39</v>
      </c>
      <c r="I11" s="1">
        <v>22</v>
      </c>
      <c r="J11" s="1">
        <v>18</v>
      </c>
      <c r="K11" s="1">
        <v>10</v>
      </c>
      <c r="L11" s="1">
        <v>90.6</v>
      </c>
      <c r="M11" s="1">
        <v>39.783730400000003</v>
      </c>
      <c r="N11" s="1">
        <v>-100.445882</v>
      </c>
      <c r="O11" t="str">
        <f t="shared" si="0"/>
        <v>HIGH</v>
      </c>
    </row>
    <row r="12" spans="1:16">
      <c r="A12" s="1">
        <v>11</v>
      </c>
      <c r="B12" s="1" t="s">
        <v>26</v>
      </c>
      <c r="C12" s="1" t="s">
        <v>15</v>
      </c>
      <c r="D12" s="1">
        <v>9</v>
      </c>
      <c r="E12" s="1">
        <v>11</v>
      </c>
      <c r="F12" s="1">
        <v>34</v>
      </c>
      <c r="G12" s="1">
        <v>12</v>
      </c>
      <c r="H12" s="1">
        <v>37</v>
      </c>
      <c r="I12" s="1">
        <v>19</v>
      </c>
      <c r="J12" s="1">
        <v>11</v>
      </c>
      <c r="K12" s="1">
        <v>31</v>
      </c>
      <c r="L12" s="1">
        <v>90.3</v>
      </c>
      <c r="M12" s="1">
        <v>39.783730400000003</v>
      </c>
      <c r="N12" s="1">
        <v>-100.445882</v>
      </c>
      <c r="O12" t="str">
        <f t="shared" si="0"/>
        <v>HIGH</v>
      </c>
    </row>
    <row r="13" spans="1:16">
      <c r="A13" s="1">
        <v>12</v>
      </c>
      <c r="B13" s="1" t="s">
        <v>27</v>
      </c>
      <c r="C13" s="1" t="s">
        <v>28</v>
      </c>
      <c r="D13" s="1">
        <v>1</v>
      </c>
      <c r="E13" s="1">
        <v>17</v>
      </c>
      <c r="F13" s="1">
        <v>8</v>
      </c>
      <c r="G13" s="1">
        <v>33</v>
      </c>
      <c r="H13" s="1">
        <v>7</v>
      </c>
      <c r="I13" s="1">
        <v>17</v>
      </c>
      <c r="J13" s="1">
        <v>23</v>
      </c>
      <c r="K13" s="1">
        <v>29</v>
      </c>
      <c r="L13" s="1">
        <v>90</v>
      </c>
      <c r="M13" s="1">
        <v>36.5748441</v>
      </c>
      <c r="N13" s="1">
        <v>139.23941790000001</v>
      </c>
      <c r="O13" t="str">
        <f t="shared" si="0"/>
        <v>MEDIUM</v>
      </c>
    </row>
    <row r="14" spans="1:16">
      <c r="A14" s="1">
        <v>13</v>
      </c>
      <c r="B14" s="1" t="s">
        <v>29</v>
      </c>
      <c r="C14" s="1" t="s">
        <v>15</v>
      </c>
      <c r="D14" s="1">
        <v>10</v>
      </c>
      <c r="E14" s="1">
        <v>31</v>
      </c>
      <c r="F14" s="1">
        <v>9</v>
      </c>
      <c r="G14" s="1">
        <v>30</v>
      </c>
      <c r="H14" s="1">
        <v>16</v>
      </c>
      <c r="I14" s="1">
        <v>11</v>
      </c>
      <c r="J14" s="1">
        <v>17</v>
      </c>
      <c r="K14" s="1">
        <v>13</v>
      </c>
      <c r="L14" s="1">
        <v>89.7</v>
      </c>
      <c r="M14" s="1">
        <v>39.783730400000003</v>
      </c>
      <c r="N14" s="1">
        <v>-100.445882</v>
      </c>
      <c r="O14" t="str">
        <f t="shared" si="0"/>
        <v>MEDIUM</v>
      </c>
    </row>
    <row r="15" spans="1:16">
      <c r="A15" s="1">
        <v>14</v>
      </c>
      <c r="B15" s="1" t="s">
        <v>30</v>
      </c>
      <c r="C15" s="1" t="s">
        <v>15</v>
      </c>
      <c r="D15" s="1">
        <v>11</v>
      </c>
      <c r="E15" s="1">
        <v>14</v>
      </c>
      <c r="F15" s="1">
        <v>28</v>
      </c>
      <c r="G15" s="1">
        <v>19</v>
      </c>
      <c r="H15" s="1">
        <v>31</v>
      </c>
      <c r="I15" s="1">
        <v>24</v>
      </c>
      <c r="J15" s="1">
        <v>15</v>
      </c>
      <c r="K15" s="1">
        <v>40</v>
      </c>
      <c r="L15" s="1">
        <v>89.4</v>
      </c>
      <c r="M15" s="1">
        <v>39.783730400000003</v>
      </c>
      <c r="N15" s="1">
        <v>-100.445882</v>
      </c>
      <c r="O15" t="str">
        <f t="shared" si="0"/>
        <v>MEDIUM</v>
      </c>
    </row>
    <row r="16" spans="1:16">
      <c r="A16" s="1">
        <v>15</v>
      </c>
      <c r="B16" s="1" t="s">
        <v>31</v>
      </c>
      <c r="C16" s="1" t="s">
        <v>15</v>
      </c>
      <c r="D16" s="1">
        <v>12</v>
      </c>
      <c r="E16" s="1">
        <v>58</v>
      </c>
      <c r="F16" s="1">
        <v>63</v>
      </c>
      <c r="G16" s="1">
        <v>11</v>
      </c>
      <c r="H16" s="1">
        <v>13</v>
      </c>
      <c r="I16" s="1">
        <v>10</v>
      </c>
      <c r="J16" s="1">
        <v>14</v>
      </c>
      <c r="K16" s="1">
        <v>5</v>
      </c>
      <c r="L16" s="1">
        <v>89.1</v>
      </c>
      <c r="M16" s="1">
        <v>39.783730400000003</v>
      </c>
      <c r="N16" s="1">
        <v>-100.445882</v>
      </c>
      <c r="O16" t="str">
        <f t="shared" si="0"/>
        <v>MEDIUM</v>
      </c>
    </row>
    <row r="17" spans="1:15">
      <c r="A17" s="1">
        <v>16</v>
      </c>
      <c r="B17" s="1" t="s">
        <v>32</v>
      </c>
      <c r="C17" s="1" t="s">
        <v>15</v>
      </c>
      <c r="D17" s="1">
        <v>13</v>
      </c>
      <c r="E17" s="1">
        <v>24</v>
      </c>
      <c r="F17" s="1">
        <v>159</v>
      </c>
      <c r="G17" s="1">
        <v>17</v>
      </c>
      <c r="H17" s="1">
        <v>8</v>
      </c>
      <c r="I17" s="1">
        <v>6</v>
      </c>
      <c r="J17" s="1">
        <v>12</v>
      </c>
      <c r="K17" s="1">
        <v>3</v>
      </c>
      <c r="L17" s="1">
        <v>88.9</v>
      </c>
      <c r="M17" s="1">
        <v>39.783730400000003</v>
      </c>
      <c r="N17" s="1">
        <v>-100.445882</v>
      </c>
      <c r="O17" t="str">
        <f t="shared" si="0"/>
        <v>MEDIUM</v>
      </c>
    </row>
    <row r="18" spans="1:15">
      <c r="A18" s="1">
        <v>17</v>
      </c>
      <c r="B18" s="1" t="s">
        <v>33</v>
      </c>
      <c r="C18" s="1" t="s">
        <v>34</v>
      </c>
      <c r="D18" s="1">
        <v>1</v>
      </c>
      <c r="E18" s="1">
        <v>86</v>
      </c>
      <c r="F18" s="1">
        <v>157</v>
      </c>
      <c r="G18" s="1">
        <v>23</v>
      </c>
      <c r="H18" s="1">
        <v>2</v>
      </c>
      <c r="I18" s="1">
        <v>2</v>
      </c>
      <c r="J18" s="1">
        <v>16</v>
      </c>
      <c r="K18" s="1">
        <v>7</v>
      </c>
      <c r="L18" s="1">
        <v>88.7</v>
      </c>
      <c r="M18" s="1">
        <v>61.066692199999999</v>
      </c>
      <c r="N18" s="1">
        <v>-107.99170700000001</v>
      </c>
      <c r="O18" t="str">
        <f t="shared" si="0"/>
        <v>MEDIUM</v>
      </c>
    </row>
    <row r="19" spans="1:15">
      <c r="A19" s="1">
        <v>18</v>
      </c>
      <c r="B19" s="1" t="s">
        <v>35</v>
      </c>
      <c r="C19" s="1" t="s">
        <v>15</v>
      </c>
      <c r="D19" s="1">
        <v>14</v>
      </c>
      <c r="E19" s="1">
        <v>47</v>
      </c>
      <c r="F19" s="1">
        <v>38</v>
      </c>
      <c r="G19" s="1">
        <v>68</v>
      </c>
      <c r="H19" s="1">
        <v>3</v>
      </c>
      <c r="I19" s="1">
        <v>3</v>
      </c>
      <c r="J19" s="1">
        <v>20</v>
      </c>
      <c r="K19" s="1">
        <v>10</v>
      </c>
      <c r="L19" s="1">
        <v>88.4</v>
      </c>
      <c r="M19" s="1">
        <v>39.783730400000003</v>
      </c>
      <c r="N19" s="1">
        <v>-100.445882</v>
      </c>
      <c r="O19" t="str">
        <f t="shared" si="0"/>
        <v>MEDIUM</v>
      </c>
    </row>
    <row r="20" spans="1:15">
      <c r="A20" s="1">
        <v>19</v>
      </c>
      <c r="B20" s="1" t="s">
        <v>36</v>
      </c>
      <c r="C20" s="1" t="s">
        <v>15</v>
      </c>
      <c r="D20" s="1">
        <v>15</v>
      </c>
      <c r="E20" s="1">
        <v>75</v>
      </c>
      <c r="F20" s="1">
        <v>220</v>
      </c>
      <c r="G20" s="1">
        <v>26</v>
      </c>
      <c r="H20" s="1">
        <v>11</v>
      </c>
      <c r="I20" s="1">
        <v>9</v>
      </c>
      <c r="J20" s="1">
        <v>9</v>
      </c>
      <c r="K20" s="1">
        <v>9</v>
      </c>
      <c r="L20" s="1">
        <v>88.2</v>
      </c>
      <c r="M20" s="1">
        <v>39.783730400000003</v>
      </c>
      <c r="N20" s="1">
        <v>-100.445882</v>
      </c>
      <c r="O20" t="str">
        <f t="shared" si="0"/>
        <v>MEDIUM</v>
      </c>
    </row>
    <row r="21" spans="1:15">
      <c r="A21" s="1">
        <v>20</v>
      </c>
      <c r="B21" s="1" t="s">
        <v>37</v>
      </c>
      <c r="C21" s="1" t="s">
        <v>15</v>
      </c>
      <c r="D21" s="1">
        <v>16</v>
      </c>
      <c r="E21" s="1">
        <v>37</v>
      </c>
      <c r="F21" s="1">
        <v>1001</v>
      </c>
      <c r="G21" s="1">
        <v>16</v>
      </c>
      <c r="H21" s="1">
        <v>28</v>
      </c>
      <c r="I21" s="1">
        <v>16</v>
      </c>
      <c r="J21" s="1">
        <v>5</v>
      </c>
      <c r="K21" s="1">
        <v>16</v>
      </c>
      <c r="L21" s="1">
        <v>88</v>
      </c>
      <c r="M21" s="1">
        <v>39.783730400000003</v>
      </c>
      <c r="N21" s="1">
        <v>-100.445882</v>
      </c>
      <c r="O21" t="str">
        <f t="shared" si="0"/>
        <v>MEDIUM</v>
      </c>
    </row>
    <row r="22" spans="1:15">
      <c r="A22" s="1">
        <v>21</v>
      </c>
      <c r="B22" s="1" t="s">
        <v>38</v>
      </c>
      <c r="C22" s="1" t="s">
        <v>19</v>
      </c>
      <c r="D22" s="1">
        <v>3</v>
      </c>
      <c r="E22" s="1">
        <v>32</v>
      </c>
      <c r="F22" s="1">
        <v>739</v>
      </c>
      <c r="G22" s="1">
        <v>28</v>
      </c>
      <c r="H22" s="1">
        <v>5</v>
      </c>
      <c r="I22" s="1">
        <v>7</v>
      </c>
      <c r="J22" s="1">
        <v>19</v>
      </c>
      <c r="K22" s="1">
        <v>19</v>
      </c>
      <c r="L22" s="1">
        <v>87.8</v>
      </c>
      <c r="M22" s="1">
        <v>54.702354499999998</v>
      </c>
      <c r="N22" s="1">
        <v>-3.2765753000000002</v>
      </c>
      <c r="O22" t="str">
        <f t="shared" si="0"/>
        <v>MEDIUM</v>
      </c>
    </row>
    <row r="23" spans="1:15">
      <c r="A23" s="1">
        <v>22</v>
      </c>
      <c r="B23" s="1" t="s">
        <v>39</v>
      </c>
      <c r="C23" s="1" t="s">
        <v>15</v>
      </c>
      <c r="D23" s="1">
        <v>17</v>
      </c>
      <c r="E23" s="1">
        <v>667</v>
      </c>
      <c r="F23" s="1">
        <v>1001</v>
      </c>
      <c r="G23" s="1">
        <v>13</v>
      </c>
      <c r="H23" s="1">
        <v>45</v>
      </c>
      <c r="I23" s="1">
        <v>23</v>
      </c>
      <c r="J23" s="1">
        <v>8</v>
      </c>
      <c r="K23" s="1">
        <v>17</v>
      </c>
      <c r="L23" s="1">
        <v>87.7</v>
      </c>
      <c r="M23" s="1">
        <v>39.783730400000003</v>
      </c>
      <c r="N23" s="1">
        <v>-100.445882</v>
      </c>
      <c r="O23" t="str">
        <f t="shared" si="0"/>
        <v>MEDIUM</v>
      </c>
    </row>
    <row r="24" spans="1:15">
      <c r="A24" s="1">
        <v>23</v>
      </c>
      <c r="B24" s="1" t="s">
        <v>40</v>
      </c>
      <c r="C24" s="1" t="s">
        <v>15</v>
      </c>
      <c r="D24" s="1">
        <v>18</v>
      </c>
      <c r="E24" s="1">
        <v>129</v>
      </c>
      <c r="F24" s="1">
        <v>18</v>
      </c>
      <c r="G24" s="1">
        <v>44</v>
      </c>
      <c r="H24" s="1">
        <v>52</v>
      </c>
      <c r="I24" s="1">
        <v>28</v>
      </c>
      <c r="J24" s="1">
        <v>36</v>
      </c>
      <c r="K24" s="1">
        <v>34</v>
      </c>
      <c r="L24" s="1">
        <v>87.5</v>
      </c>
      <c r="M24" s="1">
        <v>39.783730400000003</v>
      </c>
      <c r="N24" s="1">
        <v>-100.445882</v>
      </c>
      <c r="O24" t="str">
        <f t="shared" si="0"/>
        <v>MEDIUM</v>
      </c>
    </row>
    <row r="25" spans="1:15">
      <c r="A25" s="1">
        <v>24</v>
      </c>
      <c r="B25" s="1" t="s">
        <v>41</v>
      </c>
      <c r="C25" s="1" t="s">
        <v>15</v>
      </c>
      <c r="D25" s="1">
        <v>19</v>
      </c>
      <c r="E25" s="1">
        <v>98</v>
      </c>
      <c r="F25" s="1">
        <v>46</v>
      </c>
      <c r="G25" s="1">
        <v>47</v>
      </c>
      <c r="H25" s="1">
        <v>36</v>
      </c>
      <c r="I25" s="1">
        <v>20</v>
      </c>
      <c r="J25" s="1">
        <v>21</v>
      </c>
      <c r="K25" s="1">
        <v>14</v>
      </c>
      <c r="L25" s="1">
        <v>87.3</v>
      </c>
      <c r="M25" s="1">
        <v>39.783730400000003</v>
      </c>
      <c r="N25" s="1">
        <v>-100.445882</v>
      </c>
      <c r="O25" t="str">
        <f t="shared" si="0"/>
        <v>MEDIUM</v>
      </c>
    </row>
    <row r="26" spans="1:15">
      <c r="A26" s="1">
        <v>25</v>
      </c>
      <c r="B26" s="1" t="s">
        <v>42</v>
      </c>
      <c r="C26" s="1" t="s">
        <v>15</v>
      </c>
      <c r="D26" s="1">
        <v>20</v>
      </c>
      <c r="E26" s="1">
        <v>64</v>
      </c>
      <c r="F26" s="1">
        <v>40</v>
      </c>
      <c r="G26" s="1">
        <v>18</v>
      </c>
      <c r="H26" s="1">
        <v>70</v>
      </c>
      <c r="I26" s="1">
        <v>50</v>
      </c>
      <c r="J26" s="1">
        <v>29</v>
      </c>
      <c r="K26" s="1">
        <v>35</v>
      </c>
      <c r="L26" s="1">
        <v>87.2</v>
      </c>
      <c r="M26" s="1">
        <v>39.783730400000003</v>
      </c>
      <c r="N26" s="1">
        <v>-100.445882</v>
      </c>
      <c r="O26" t="str">
        <f t="shared" si="0"/>
        <v>MEDIUM</v>
      </c>
    </row>
    <row r="27" spans="1:15">
      <c r="A27" s="1">
        <v>26</v>
      </c>
      <c r="B27" s="1" t="s">
        <v>43</v>
      </c>
      <c r="C27" s="1" t="s">
        <v>28</v>
      </c>
      <c r="D27" s="1">
        <v>2</v>
      </c>
      <c r="E27" s="1">
        <v>25</v>
      </c>
      <c r="F27" s="1">
        <v>29</v>
      </c>
      <c r="G27" s="1">
        <v>24</v>
      </c>
      <c r="H27" s="1">
        <v>29</v>
      </c>
      <c r="I27" s="1">
        <v>45</v>
      </c>
      <c r="J27" s="1">
        <v>48</v>
      </c>
      <c r="K27" s="1">
        <v>101</v>
      </c>
      <c r="L27" s="1">
        <v>87</v>
      </c>
      <c r="M27" s="1">
        <v>36.5748441</v>
      </c>
      <c r="N27" s="1">
        <v>139.23941790000001</v>
      </c>
      <c r="O27" t="str">
        <f t="shared" si="0"/>
        <v>MEDIUM</v>
      </c>
    </row>
    <row r="28" spans="1:15">
      <c r="A28" s="1">
        <v>27</v>
      </c>
      <c r="B28" s="1" t="s">
        <v>44</v>
      </c>
      <c r="C28" s="1" t="s">
        <v>15</v>
      </c>
      <c r="D28" s="1">
        <v>21</v>
      </c>
      <c r="E28" s="1">
        <v>65</v>
      </c>
      <c r="F28" s="1">
        <v>79</v>
      </c>
      <c r="G28" s="1">
        <v>32</v>
      </c>
      <c r="H28" s="1">
        <v>32</v>
      </c>
      <c r="I28" s="1">
        <v>26</v>
      </c>
      <c r="J28" s="1">
        <v>30</v>
      </c>
      <c r="K28" s="1">
        <v>15</v>
      </c>
      <c r="L28" s="1">
        <v>86.9</v>
      </c>
      <c r="M28" s="1">
        <v>39.783730400000003</v>
      </c>
      <c r="N28" s="1">
        <v>-100.445882</v>
      </c>
      <c r="O28" t="str">
        <f t="shared" si="0"/>
        <v>MEDIUM</v>
      </c>
    </row>
    <row r="29" spans="1:15">
      <c r="A29" s="1">
        <v>28</v>
      </c>
      <c r="B29" s="1" t="s">
        <v>45</v>
      </c>
      <c r="C29" s="1" t="s">
        <v>46</v>
      </c>
      <c r="D29" s="1">
        <v>1</v>
      </c>
      <c r="E29" s="1">
        <v>29</v>
      </c>
      <c r="F29" s="1">
        <v>98</v>
      </c>
      <c r="G29" s="1">
        <v>20</v>
      </c>
      <c r="H29" s="1">
        <v>57</v>
      </c>
      <c r="I29" s="1">
        <v>42</v>
      </c>
      <c r="J29" s="1">
        <v>27</v>
      </c>
      <c r="K29" s="1">
        <v>59</v>
      </c>
      <c r="L29" s="1">
        <v>86.7</v>
      </c>
      <c r="M29" s="1">
        <v>46.798562400000002</v>
      </c>
      <c r="N29" s="1">
        <v>8.2319735999999999</v>
      </c>
      <c r="O29" t="str">
        <f t="shared" si="0"/>
        <v>MEDIUM</v>
      </c>
    </row>
    <row r="30" spans="1:15">
      <c r="A30" s="1">
        <v>29</v>
      </c>
      <c r="B30" s="1" t="s">
        <v>47</v>
      </c>
      <c r="C30" s="1" t="s">
        <v>48</v>
      </c>
      <c r="D30" s="1">
        <v>1</v>
      </c>
      <c r="E30" s="1">
        <v>46</v>
      </c>
      <c r="F30" s="1">
        <v>344</v>
      </c>
      <c r="G30" s="1">
        <v>56</v>
      </c>
      <c r="H30" s="1">
        <v>6</v>
      </c>
      <c r="I30" s="1">
        <v>13</v>
      </c>
      <c r="J30" s="1">
        <v>24</v>
      </c>
      <c r="K30" s="1">
        <v>22</v>
      </c>
      <c r="L30" s="1">
        <v>86.6</v>
      </c>
      <c r="M30" s="1">
        <v>46.603354000000003</v>
      </c>
      <c r="N30" s="1">
        <v>1.8883335000000001</v>
      </c>
      <c r="O30" t="str">
        <f t="shared" si="0"/>
        <v>MEDIUM</v>
      </c>
    </row>
    <row r="31" spans="1:15">
      <c r="A31" s="1">
        <v>30</v>
      </c>
      <c r="B31" s="1" t="s">
        <v>49</v>
      </c>
      <c r="C31" s="1" t="s">
        <v>19</v>
      </c>
      <c r="D31" s="1">
        <v>4</v>
      </c>
      <c r="E31" s="1">
        <v>93</v>
      </c>
      <c r="F31" s="1">
        <v>103</v>
      </c>
      <c r="G31" s="1">
        <v>43</v>
      </c>
      <c r="H31" s="1">
        <v>21</v>
      </c>
      <c r="I31" s="1">
        <v>18</v>
      </c>
      <c r="J31" s="1">
        <v>25</v>
      </c>
      <c r="K31" s="1">
        <v>29</v>
      </c>
      <c r="L31" s="1">
        <v>86.5</v>
      </c>
      <c r="M31" s="1">
        <v>54.702354499999998</v>
      </c>
      <c r="N31" s="1">
        <v>-3.2765753000000002</v>
      </c>
      <c r="O31" t="str">
        <f t="shared" si="0"/>
        <v>MEDIUM</v>
      </c>
    </row>
    <row r="32" spans="1:15">
      <c r="A32" s="1">
        <v>31</v>
      </c>
      <c r="B32" s="1" t="s">
        <v>50</v>
      </c>
      <c r="C32" s="1" t="s">
        <v>15</v>
      </c>
      <c r="D32" s="1">
        <v>22</v>
      </c>
      <c r="E32" s="1">
        <v>108</v>
      </c>
      <c r="F32" s="1">
        <v>62</v>
      </c>
      <c r="G32" s="1">
        <v>29</v>
      </c>
      <c r="H32" s="1">
        <v>73</v>
      </c>
      <c r="I32" s="1">
        <v>58</v>
      </c>
      <c r="J32" s="1">
        <v>58</v>
      </c>
      <c r="K32" s="1">
        <v>24</v>
      </c>
      <c r="L32" s="1">
        <v>86.3</v>
      </c>
      <c r="M32" s="1">
        <v>39.783730400000003</v>
      </c>
      <c r="N32" s="1">
        <v>-100.445882</v>
      </c>
      <c r="O32" t="str">
        <f t="shared" si="0"/>
        <v>MEDIUM</v>
      </c>
    </row>
    <row r="33" spans="1:15">
      <c r="A33" s="1">
        <v>32</v>
      </c>
      <c r="B33" s="1" t="s">
        <v>51</v>
      </c>
      <c r="C33" s="1" t="s">
        <v>15</v>
      </c>
      <c r="D33" s="1">
        <v>23</v>
      </c>
      <c r="E33" s="1">
        <v>40</v>
      </c>
      <c r="F33" s="1">
        <v>150</v>
      </c>
      <c r="G33" s="1">
        <v>27</v>
      </c>
      <c r="H33" s="1">
        <v>65</v>
      </c>
      <c r="I33" s="1">
        <v>55</v>
      </c>
      <c r="J33" s="1">
        <v>61</v>
      </c>
      <c r="K33" s="1">
        <v>50</v>
      </c>
      <c r="L33" s="1">
        <v>86.2</v>
      </c>
      <c r="M33" s="1">
        <v>39.783730400000003</v>
      </c>
      <c r="N33" s="1">
        <v>-100.445882</v>
      </c>
      <c r="O33" t="str">
        <f t="shared" si="0"/>
        <v>MEDIUM</v>
      </c>
    </row>
    <row r="34" spans="1:15">
      <c r="A34" s="1">
        <v>33</v>
      </c>
      <c r="B34" s="1" t="s">
        <v>52</v>
      </c>
      <c r="C34" s="1" t="s">
        <v>15</v>
      </c>
      <c r="D34" s="1">
        <v>24</v>
      </c>
      <c r="E34" s="1">
        <v>205</v>
      </c>
      <c r="F34" s="1">
        <v>120</v>
      </c>
      <c r="G34" s="1">
        <v>72</v>
      </c>
      <c r="H34" s="1">
        <v>50</v>
      </c>
      <c r="I34" s="1">
        <v>30</v>
      </c>
      <c r="J34" s="1">
        <v>33</v>
      </c>
      <c r="K34" s="1">
        <v>21</v>
      </c>
      <c r="L34" s="1">
        <v>86.1</v>
      </c>
      <c r="M34" s="1">
        <v>39.783730400000003</v>
      </c>
      <c r="N34" s="1">
        <v>-100.445882</v>
      </c>
      <c r="O34" t="str">
        <f t="shared" si="0"/>
        <v>MEDIUM</v>
      </c>
    </row>
    <row r="35" spans="1:15">
      <c r="A35" s="1">
        <v>34</v>
      </c>
      <c r="B35" s="1" t="s">
        <v>53</v>
      </c>
      <c r="C35" s="1" t="s">
        <v>19</v>
      </c>
      <c r="D35" s="1">
        <v>5</v>
      </c>
      <c r="E35" s="1">
        <v>61</v>
      </c>
      <c r="F35" s="1">
        <v>325</v>
      </c>
      <c r="G35" s="1">
        <v>36</v>
      </c>
      <c r="H35" s="1">
        <v>72</v>
      </c>
      <c r="I35" s="1">
        <v>56</v>
      </c>
      <c r="J35" s="1">
        <v>31</v>
      </c>
      <c r="K35" s="1">
        <v>48</v>
      </c>
      <c r="L35" s="1">
        <v>86</v>
      </c>
      <c r="M35" s="1">
        <v>54.702354499999998</v>
      </c>
      <c r="N35" s="1">
        <v>-3.2765753000000002</v>
      </c>
      <c r="O35" t="str">
        <f t="shared" si="0"/>
        <v>MEDIUM</v>
      </c>
    </row>
    <row r="36" spans="1:15">
      <c r="A36" s="1">
        <v>35</v>
      </c>
      <c r="B36" s="1" t="s">
        <v>54</v>
      </c>
      <c r="C36" s="1" t="s">
        <v>15</v>
      </c>
      <c r="D36" s="1">
        <v>25</v>
      </c>
      <c r="E36" s="1">
        <v>131</v>
      </c>
      <c r="F36" s="1">
        <v>302</v>
      </c>
      <c r="G36" s="1">
        <v>76</v>
      </c>
      <c r="H36" s="1">
        <v>24</v>
      </c>
      <c r="I36" s="1">
        <v>21</v>
      </c>
      <c r="J36" s="1">
        <v>35</v>
      </c>
      <c r="K36" s="1">
        <v>28</v>
      </c>
      <c r="L36" s="1">
        <v>85.9</v>
      </c>
      <c r="M36" s="1">
        <v>39.783730400000003</v>
      </c>
      <c r="N36" s="1">
        <v>-100.445882</v>
      </c>
      <c r="O36" t="str">
        <f t="shared" si="0"/>
        <v>MEDIUM</v>
      </c>
    </row>
    <row r="37" spans="1:15">
      <c r="A37" s="1">
        <v>36</v>
      </c>
      <c r="B37" s="1" t="s">
        <v>55</v>
      </c>
      <c r="C37" s="1" t="s">
        <v>15</v>
      </c>
      <c r="D37" s="1">
        <v>26</v>
      </c>
      <c r="E37" s="1">
        <v>206</v>
      </c>
      <c r="F37" s="1">
        <v>161</v>
      </c>
      <c r="G37" s="1">
        <v>64</v>
      </c>
      <c r="H37" s="1">
        <v>81</v>
      </c>
      <c r="I37" s="1">
        <v>46</v>
      </c>
      <c r="J37" s="1">
        <v>22</v>
      </c>
      <c r="K37" s="1">
        <v>22</v>
      </c>
      <c r="L37" s="1">
        <v>85.8</v>
      </c>
      <c r="M37" s="1">
        <v>39.783730400000003</v>
      </c>
      <c r="N37" s="1">
        <v>-100.445882</v>
      </c>
      <c r="O37" t="str">
        <f t="shared" si="0"/>
        <v>MEDIUM</v>
      </c>
    </row>
    <row r="38" spans="1:15">
      <c r="A38" s="1">
        <v>37</v>
      </c>
      <c r="B38" s="1" t="s">
        <v>56</v>
      </c>
      <c r="C38" s="1" t="s">
        <v>34</v>
      </c>
      <c r="D38" s="1">
        <v>2</v>
      </c>
      <c r="E38" s="1">
        <v>68</v>
      </c>
      <c r="F38" s="1">
        <v>86</v>
      </c>
      <c r="G38" s="1">
        <v>65</v>
      </c>
      <c r="H38" s="1">
        <v>44</v>
      </c>
      <c r="I38" s="1">
        <v>36</v>
      </c>
      <c r="J38" s="1">
        <v>53</v>
      </c>
      <c r="K38" s="1">
        <v>39</v>
      </c>
      <c r="L38" s="1">
        <v>85.6</v>
      </c>
      <c r="M38" s="1">
        <v>61.066692199999999</v>
      </c>
      <c r="N38" s="1">
        <v>-107.99170700000001</v>
      </c>
      <c r="O38" t="str">
        <f t="shared" si="0"/>
        <v>MEDIUM</v>
      </c>
    </row>
    <row r="39" spans="1:15">
      <c r="A39" s="1">
        <v>38</v>
      </c>
      <c r="B39" s="1" t="s">
        <v>57</v>
      </c>
      <c r="C39" s="1" t="s">
        <v>34</v>
      </c>
      <c r="D39" s="1">
        <v>3</v>
      </c>
      <c r="E39" s="1">
        <v>173</v>
      </c>
      <c r="F39" s="1">
        <v>699</v>
      </c>
      <c r="G39" s="1">
        <v>78</v>
      </c>
      <c r="H39" s="1">
        <v>25</v>
      </c>
      <c r="I39" s="1">
        <v>27</v>
      </c>
      <c r="J39" s="1">
        <v>37</v>
      </c>
      <c r="K39" s="1">
        <v>24</v>
      </c>
      <c r="L39" s="1">
        <v>85.5</v>
      </c>
      <c r="M39" s="1">
        <v>61.066692199999999</v>
      </c>
      <c r="N39" s="1">
        <v>-107.99170700000001</v>
      </c>
      <c r="O39" t="str">
        <f t="shared" si="0"/>
        <v>MEDIUM</v>
      </c>
    </row>
    <row r="40" spans="1:15">
      <c r="A40" s="1">
        <v>39</v>
      </c>
      <c r="B40" s="1" t="s">
        <v>58</v>
      </c>
      <c r="C40" s="1" t="s">
        <v>59</v>
      </c>
      <c r="D40" s="1">
        <v>1</v>
      </c>
      <c r="E40" s="1">
        <v>302</v>
      </c>
      <c r="F40" s="1">
        <v>364</v>
      </c>
      <c r="G40" s="1">
        <v>79</v>
      </c>
      <c r="H40" s="1">
        <v>26</v>
      </c>
      <c r="I40" s="1">
        <v>29</v>
      </c>
      <c r="J40" s="1">
        <v>26</v>
      </c>
      <c r="K40" s="1">
        <v>38</v>
      </c>
      <c r="L40" s="1">
        <v>85.4</v>
      </c>
      <c r="M40" s="1">
        <v>55.670248999999998</v>
      </c>
      <c r="N40" s="1">
        <v>10.3333283</v>
      </c>
      <c r="O40" t="str">
        <f t="shared" si="0"/>
        <v>MEDIUM</v>
      </c>
    </row>
    <row r="41" spans="1:15">
      <c r="A41" s="1">
        <v>40</v>
      </c>
      <c r="B41" s="1" t="s">
        <v>60</v>
      </c>
      <c r="C41" s="1" t="s">
        <v>15</v>
      </c>
      <c r="D41" s="1">
        <v>27</v>
      </c>
      <c r="E41" s="1">
        <v>165</v>
      </c>
      <c r="F41" s="1">
        <v>254</v>
      </c>
      <c r="G41" s="1">
        <v>70</v>
      </c>
      <c r="H41" s="1">
        <v>33</v>
      </c>
      <c r="I41" s="1">
        <v>31</v>
      </c>
      <c r="J41" s="1">
        <v>50</v>
      </c>
      <c r="K41" s="1">
        <v>35</v>
      </c>
      <c r="L41" s="1">
        <v>85.3</v>
      </c>
      <c r="M41" s="1">
        <v>39.783730400000003</v>
      </c>
      <c r="N41" s="1">
        <v>-100.445882</v>
      </c>
      <c r="O41" t="str">
        <f t="shared" si="0"/>
        <v>MEDIUM</v>
      </c>
    </row>
    <row r="42" spans="1:15">
      <c r="A42" s="1">
        <v>41</v>
      </c>
      <c r="B42" s="1" t="s">
        <v>61</v>
      </c>
      <c r="C42" s="1" t="s">
        <v>15</v>
      </c>
      <c r="D42" s="1">
        <v>28</v>
      </c>
      <c r="E42" s="1">
        <v>212</v>
      </c>
      <c r="F42" s="1">
        <v>101</v>
      </c>
      <c r="G42" s="1">
        <v>35</v>
      </c>
      <c r="H42" s="1">
        <v>74</v>
      </c>
      <c r="I42" s="1">
        <v>67</v>
      </c>
      <c r="J42" s="1">
        <v>62</v>
      </c>
      <c r="K42" s="1">
        <v>59</v>
      </c>
      <c r="L42" s="1">
        <v>85.2</v>
      </c>
      <c r="M42" s="1">
        <v>39.783730400000003</v>
      </c>
      <c r="N42" s="1">
        <v>-100.445882</v>
      </c>
      <c r="O42" t="str">
        <f t="shared" si="0"/>
        <v>MEDIUM</v>
      </c>
    </row>
    <row r="43" spans="1:15">
      <c r="A43" s="1">
        <v>42</v>
      </c>
      <c r="B43" s="1" t="s">
        <v>62</v>
      </c>
      <c r="C43" s="1" t="s">
        <v>15</v>
      </c>
      <c r="D43" s="1">
        <v>29</v>
      </c>
      <c r="E43" s="1">
        <v>83</v>
      </c>
      <c r="F43" s="1">
        <v>579</v>
      </c>
      <c r="G43" s="1">
        <v>75</v>
      </c>
      <c r="H43" s="1">
        <v>42</v>
      </c>
      <c r="I43" s="1">
        <v>35</v>
      </c>
      <c r="J43" s="1">
        <v>39</v>
      </c>
      <c r="K43" s="1">
        <v>31</v>
      </c>
      <c r="L43" s="1">
        <v>85.1</v>
      </c>
      <c r="M43" s="1">
        <v>39.783730400000003</v>
      </c>
      <c r="N43" s="1">
        <v>-100.445882</v>
      </c>
      <c r="O43" t="str">
        <f t="shared" si="0"/>
        <v>MEDIUM</v>
      </c>
    </row>
    <row r="44" spans="1:15">
      <c r="A44" s="1">
        <v>43</v>
      </c>
      <c r="B44" s="1" t="s">
        <v>63</v>
      </c>
      <c r="C44" s="1" t="s">
        <v>15</v>
      </c>
      <c r="D44" s="1">
        <v>30</v>
      </c>
      <c r="E44" s="1">
        <v>374</v>
      </c>
      <c r="F44" s="1">
        <v>168</v>
      </c>
      <c r="G44" s="1">
        <v>60</v>
      </c>
      <c r="H44" s="1">
        <v>43</v>
      </c>
      <c r="I44" s="1">
        <v>40</v>
      </c>
      <c r="J44" s="1">
        <v>41</v>
      </c>
      <c r="K44" s="1">
        <v>51</v>
      </c>
      <c r="L44" s="1">
        <v>85</v>
      </c>
      <c r="M44" s="1">
        <v>39.783730400000003</v>
      </c>
      <c r="N44" s="1">
        <v>-100.445882</v>
      </c>
      <c r="O44" t="str">
        <f t="shared" si="0"/>
        <v>MEDIUM</v>
      </c>
    </row>
    <row r="45" spans="1:15">
      <c r="A45" s="1">
        <v>44</v>
      </c>
      <c r="B45" s="1" t="s">
        <v>64</v>
      </c>
      <c r="C45" s="1" t="s">
        <v>19</v>
      </c>
      <c r="D45" s="1">
        <v>6</v>
      </c>
      <c r="E45" s="1">
        <v>171</v>
      </c>
      <c r="F45" s="1">
        <v>227</v>
      </c>
      <c r="G45" s="1">
        <v>63</v>
      </c>
      <c r="H45" s="1">
        <v>49</v>
      </c>
      <c r="I45" s="1">
        <v>48</v>
      </c>
      <c r="J45" s="1">
        <v>65</v>
      </c>
      <c r="K45" s="1">
        <v>35</v>
      </c>
      <c r="L45" s="1">
        <v>85</v>
      </c>
      <c r="M45" s="1">
        <v>54.702354499999998</v>
      </c>
      <c r="N45" s="1">
        <v>-3.2765753000000002</v>
      </c>
      <c r="O45" t="str">
        <f t="shared" si="0"/>
        <v>MEDIUM</v>
      </c>
    </row>
    <row r="46" spans="1:15">
      <c r="A46" s="1">
        <v>45</v>
      </c>
      <c r="B46" s="1" t="s">
        <v>65</v>
      </c>
      <c r="C46" s="1" t="s">
        <v>66</v>
      </c>
      <c r="D46" s="1">
        <v>1</v>
      </c>
      <c r="E46" s="1">
        <v>8</v>
      </c>
      <c r="F46" s="1">
        <v>1001</v>
      </c>
      <c r="G46" s="1">
        <v>22</v>
      </c>
      <c r="H46" s="1">
        <v>445</v>
      </c>
      <c r="I46" s="1">
        <v>292</v>
      </c>
      <c r="J46" s="1">
        <v>69</v>
      </c>
      <c r="K46" s="1">
        <v>254</v>
      </c>
      <c r="L46" s="1">
        <v>84.9</v>
      </c>
      <c r="M46" s="1">
        <v>39.3181528</v>
      </c>
      <c r="N46" s="1">
        <v>-79.810901400000006</v>
      </c>
      <c r="O46" t="str">
        <f t="shared" si="0"/>
        <v>MEDIUM</v>
      </c>
    </row>
    <row r="47" spans="1:15">
      <c r="A47" s="1">
        <v>46</v>
      </c>
      <c r="B47" s="1" t="s">
        <v>67</v>
      </c>
      <c r="C47" s="1" t="s">
        <v>68</v>
      </c>
      <c r="D47" s="1">
        <v>1</v>
      </c>
      <c r="E47" s="1">
        <v>71</v>
      </c>
      <c r="F47" s="1">
        <v>807</v>
      </c>
      <c r="G47" s="1">
        <v>51</v>
      </c>
      <c r="H47" s="1">
        <v>63</v>
      </c>
      <c r="I47" s="1">
        <v>64</v>
      </c>
      <c r="J47" s="1">
        <v>51</v>
      </c>
      <c r="K47" s="1">
        <v>53</v>
      </c>
      <c r="L47" s="1">
        <v>84.8</v>
      </c>
      <c r="M47" s="1">
        <v>40.420347900000003</v>
      </c>
      <c r="N47" s="1">
        <v>-79.116698299999996</v>
      </c>
      <c r="O47" t="str">
        <f t="shared" si="0"/>
        <v>MEDIUM</v>
      </c>
    </row>
    <row r="48" spans="1:15">
      <c r="A48" s="1">
        <v>47</v>
      </c>
      <c r="B48" s="1" t="s">
        <v>69</v>
      </c>
      <c r="C48" s="1" t="s">
        <v>15</v>
      </c>
      <c r="D48" s="1">
        <v>31</v>
      </c>
      <c r="E48" s="1">
        <v>103</v>
      </c>
      <c r="F48" s="1">
        <v>480</v>
      </c>
      <c r="G48" s="1">
        <v>55</v>
      </c>
      <c r="H48" s="1">
        <v>92</v>
      </c>
      <c r="I48" s="1">
        <v>72</v>
      </c>
      <c r="J48" s="1">
        <v>45</v>
      </c>
      <c r="K48" s="1">
        <v>42</v>
      </c>
      <c r="L48" s="1">
        <v>84.7</v>
      </c>
      <c r="M48" s="1">
        <v>39.783730400000003</v>
      </c>
      <c r="N48" s="1">
        <v>-100.445882</v>
      </c>
      <c r="O48" t="str">
        <f t="shared" si="0"/>
        <v>MEDIUM</v>
      </c>
    </row>
    <row r="49" spans="1:15">
      <c r="A49" s="1">
        <v>48</v>
      </c>
      <c r="B49" s="1" t="s">
        <v>70</v>
      </c>
      <c r="C49" s="1" t="s">
        <v>68</v>
      </c>
      <c r="D49" s="1">
        <v>2</v>
      </c>
      <c r="E49" s="1">
        <v>91</v>
      </c>
      <c r="F49" s="1">
        <v>266</v>
      </c>
      <c r="G49" s="1">
        <v>83</v>
      </c>
      <c r="H49" s="1">
        <v>53</v>
      </c>
      <c r="I49" s="1">
        <v>57</v>
      </c>
      <c r="J49" s="1">
        <v>42</v>
      </c>
      <c r="K49" s="1">
        <v>46</v>
      </c>
      <c r="L49" s="1">
        <v>84.6</v>
      </c>
      <c r="M49" s="1">
        <v>40.420347900000003</v>
      </c>
      <c r="N49" s="1">
        <v>-79.116698299999996</v>
      </c>
      <c r="O49" t="str">
        <f t="shared" si="0"/>
        <v>MEDIUM</v>
      </c>
    </row>
    <row r="50" spans="1:15">
      <c r="A50" s="1">
        <v>49</v>
      </c>
      <c r="B50" s="1" t="s">
        <v>71</v>
      </c>
      <c r="C50" s="1" t="s">
        <v>72</v>
      </c>
      <c r="D50" s="1">
        <v>1</v>
      </c>
      <c r="E50" s="1">
        <v>162</v>
      </c>
      <c r="F50" s="1">
        <v>1001</v>
      </c>
      <c r="G50" s="1">
        <v>46</v>
      </c>
      <c r="H50" s="1">
        <v>67</v>
      </c>
      <c r="I50" s="1">
        <v>53</v>
      </c>
      <c r="J50" s="1">
        <v>46</v>
      </c>
      <c r="K50" s="1">
        <v>108</v>
      </c>
      <c r="L50" s="1">
        <v>84.5</v>
      </c>
      <c r="M50" s="1">
        <v>44.133434999999999</v>
      </c>
      <c r="N50" s="1">
        <v>-70.822677999999996</v>
      </c>
      <c r="O50" t="str">
        <f t="shared" si="0"/>
        <v>MEDIUM</v>
      </c>
    </row>
    <row r="51" spans="1:15">
      <c r="A51" s="1">
        <v>50</v>
      </c>
      <c r="B51" s="1" t="s">
        <v>73</v>
      </c>
      <c r="C51" s="1" t="s">
        <v>15</v>
      </c>
      <c r="D51" s="1">
        <v>32</v>
      </c>
      <c r="E51" s="1">
        <v>134</v>
      </c>
      <c r="F51" s="1">
        <v>170</v>
      </c>
      <c r="G51" s="1">
        <v>41</v>
      </c>
      <c r="H51" s="1">
        <v>145</v>
      </c>
      <c r="I51" s="1">
        <v>111</v>
      </c>
      <c r="J51" s="1">
        <v>40</v>
      </c>
      <c r="K51" s="1">
        <v>59</v>
      </c>
      <c r="L51" s="1">
        <v>84.4</v>
      </c>
      <c r="M51" s="1">
        <v>39.783730400000003</v>
      </c>
      <c r="N51" s="1">
        <v>-100.445882</v>
      </c>
      <c r="O51" t="str">
        <f t="shared" si="0"/>
        <v>MEDIUM</v>
      </c>
    </row>
    <row r="52" spans="1:15">
      <c r="A52" s="1">
        <v>51</v>
      </c>
      <c r="B52" s="1" t="s">
        <v>74</v>
      </c>
      <c r="C52" s="1" t="s">
        <v>15</v>
      </c>
      <c r="D52" s="1">
        <v>33</v>
      </c>
      <c r="E52" s="1">
        <v>215</v>
      </c>
      <c r="F52" s="1">
        <v>111</v>
      </c>
      <c r="G52" s="1">
        <v>40</v>
      </c>
      <c r="H52" s="1">
        <v>121</v>
      </c>
      <c r="I52" s="1">
        <v>88</v>
      </c>
      <c r="J52" s="1">
        <v>74</v>
      </c>
      <c r="K52" s="1">
        <v>66</v>
      </c>
      <c r="L52" s="1">
        <v>84.4</v>
      </c>
      <c r="M52" s="1">
        <v>39.783730400000003</v>
      </c>
      <c r="N52" s="1">
        <v>-100.445882</v>
      </c>
      <c r="O52" t="str">
        <f t="shared" si="0"/>
        <v>MEDIUM</v>
      </c>
    </row>
    <row r="53" spans="1:15">
      <c r="A53" s="1">
        <v>52</v>
      </c>
      <c r="B53" s="1" t="s">
        <v>75</v>
      </c>
      <c r="C53" s="1" t="s">
        <v>15</v>
      </c>
      <c r="D53" s="1">
        <v>34</v>
      </c>
      <c r="E53" s="1">
        <v>166</v>
      </c>
      <c r="F53" s="1">
        <v>164</v>
      </c>
      <c r="G53" s="1">
        <v>53</v>
      </c>
      <c r="H53" s="1">
        <v>111</v>
      </c>
      <c r="I53" s="1">
        <v>96</v>
      </c>
      <c r="J53" s="1">
        <v>43</v>
      </c>
      <c r="K53" s="1">
        <v>48</v>
      </c>
      <c r="L53" s="1">
        <v>84.3</v>
      </c>
      <c r="M53" s="1">
        <v>39.783730400000003</v>
      </c>
      <c r="N53" s="1">
        <v>-100.445882</v>
      </c>
      <c r="O53" t="str">
        <f t="shared" si="0"/>
        <v>MEDIUM</v>
      </c>
    </row>
    <row r="54" spans="1:15">
      <c r="A54" s="1">
        <v>53</v>
      </c>
      <c r="B54" s="1" t="s">
        <v>76</v>
      </c>
      <c r="C54" s="1" t="s">
        <v>28</v>
      </c>
      <c r="D54" s="1">
        <v>3</v>
      </c>
      <c r="E54" s="1">
        <v>70</v>
      </c>
      <c r="F54" s="1">
        <v>65</v>
      </c>
      <c r="G54" s="1">
        <v>61</v>
      </c>
      <c r="H54" s="1">
        <v>59</v>
      </c>
      <c r="I54" s="1">
        <v>82</v>
      </c>
      <c r="J54" s="1">
        <v>83</v>
      </c>
      <c r="K54" s="1">
        <v>174</v>
      </c>
      <c r="L54" s="1">
        <v>84.2</v>
      </c>
      <c r="M54" s="1">
        <v>36.5748441</v>
      </c>
      <c r="N54" s="1">
        <v>139.23941790000001</v>
      </c>
      <c r="O54" t="str">
        <f t="shared" si="0"/>
        <v>MEDIUM</v>
      </c>
    </row>
    <row r="55" spans="1:15">
      <c r="A55" s="1">
        <v>54</v>
      </c>
      <c r="B55" s="1" t="s">
        <v>77</v>
      </c>
      <c r="C55" s="1" t="s">
        <v>48</v>
      </c>
      <c r="D55" s="1">
        <v>2</v>
      </c>
      <c r="E55" s="1">
        <v>49</v>
      </c>
      <c r="F55" s="1">
        <v>815</v>
      </c>
      <c r="G55" s="1">
        <v>38</v>
      </c>
      <c r="H55" s="1">
        <v>103</v>
      </c>
      <c r="I55" s="1">
        <v>86</v>
      </c>
      <c r="J55" s="1">
        <v>98</v>
      </c>
      <c r="K55" s="1">
        <v>76</v>
      </c>
      <c r="L55" s="1">
        <v>84.1</v>
      </c>
      <c r="M55" s="1">
        <v>46.603354000000003</v>
      </c>
      <c r="N55" s="1">
        <v>1.8883335000000001</v>
      </c>
      <c r="O55" t="str">
        <f t="shared" si="0"/>
        <v>MEDIUM</v>
      </c>
    </row>
    <row r="56" spans="1:15">
      <c r="A56" s="1">
        <v>55</v>
      </c>
      <c r="B56" s="1" t="s">
        <v>78</v>
      </c>
      <c r="C56" s="1" t="s">
        <v>46</v>
      </c>
      <c r="D56" s="1">
        <v>2</v>
      </c>
      <c r="E56" s="1">
        <v>35</v>
      </c>
      <c r="F56" s="1">
        <v>381</v>
      </c>
      <c r="G56" s="1">
        <v>31</v>
      </c>
      <c r="H56" s="1">
        <v>147</v>
      </c>
      <c r="I56" s="1">
        <v>130</v>
      </c>
      <c r="J56" s="1">
        <v>87</v>
      </c>
      <c r="K56" s="1">
        <v>72</v>
      </c>
      <c r="L56" s="1">
        <v>84</v>
      </c>
      <c r="M56" s="1">
        <v>46.798562400000002</v>
      </c>
      <c r="N56" s="1">
        <v>8.2319735999999999</v>
      </c>
      <c r="O56" t="str">
        <f t="shared" si="0"/>
        <v>MEDIUM</v>
      </c>
    </row>
    <row r="57" spans="1:15">
      <c r="A57" s="1">
        <v>56</v>
      </c>
      <c r="B57" s="1" t="s">
        <v>79</v>
      </c>
      <c r="C57" s="1" t="s">
        <v>15</v>
      </c>
      <c r="D57" s="1">
        <v>35</v>
      </c>
      <c r="E57" s="1">
        <v>572</v>
      </c>
      <c r="F57" s="1">
        <v>112</v>
      </c>
      <c r="G57" s="1">
        <v>106</v>
      </c>
      <c r="H57" s="1">
        <v>113</v>
      </c>
      <c r="I57" s="1">
        <v>75</v>
      </c>
      <c r="J57" s="1">
        <v>52</v>
      </c>
      <c r="K57" s="1">
        <v>26</v>
      </c>
      <c r="L57" s="1">
        <v>84</v>
      </c>
      <c r="M57" s="1">
        <v>39.783730400000003</v>
      </c>
      <c r="N57" s="1">
        <v>-100.445882</v>
      </c>
      <c r="O57" t="str">
        <f t="shared" si="0"/>
        <v>MEDIUM</v>
      </c>
    </row>
    <row r="58" spans="1:15">
      <c r="A58" s="1">
        <v>57</v>
      </c>
      <c r="B58" s="1" t="s">
        <v>80</v>
      </c>
      <c r="C58" s="1" t="s">
        <v>81</v>
      </c>
      <c r="D58" s="1">
        <v>1</v>
      </c>
      <c r="E58" s="1">
        <v>232</v>
      </c>
      <c r="F58" s="1">
        <v>408</v>
      </c>
      <c r="G58" s="1">
        <v>180</v>
      </c>
      <c r="H58" s="1">
        <v>35</v>
      </c>
      <c r="I58" s="1">
        <v>34</v>
      </c>
      <c r="J58" s="1">
        <v>54</v>
      </c>
      <c r="K58" s="1">
        <v>40</v>
      </c>
      <c r="L58" s="1">
        <v>83.9</v>
      </c>
      <c r="M58" s="1">
        <v>-24.776108600000001</v>
      </c>
      <c r="N58" s="1">
        <v>134.755</v>
      </c>
      <c r="O58" t="str">
        <f t="shared" si="0"/>
        <v>MEDIUM</v>
      </c>
    </row>
    <row r="59" spans="1:15">
      <c r="A59" s="1">
        <v>58</v>
      </c>
      <c r="B59" s="1" t="s">
        <v>82</v>
      </c>
      <c r="C59" s="1" t="s">
        <v>15</v>
      </c>
      <c r="D59" s="1">
        <v>36</v>
      </c>
      <c r="E59" s="1">
        <v>95</v>
      </c>
      <c r="F59" s="1">
        <v>50</v>
      </c>
      <c r="G59" s="1">
        <v>50</v>
      </c>
      <c r="H59" s="1">
        <v>186</v>
      </c>
      <c r="I59" s="1">
        <v>125</v>
      </c>
      <c r="J59" s="1">
        <v>85</v>
      </c>
      <c r="K59" s="1">
        <v>80</v>
      </c>
      <c r="L59" s="1">
        <v>83.8</v>
      </c>
      <c r="M59" s="1">
        <v>39.783730400000003</v>
      </c>
      <c r="N59" s="1">
        <v>-100.445882</v>
      </c>
      <c r="O59" t="str">
        <f t="shared" si="0"/>
        <v>MEDIUM</v>
      </c>
    </row>
    <row r="60" spans="1:15">
      <c r="A60" s="1">
        <v>59</v>
      </c>
      <c r="B60" s="1" t="s">
        <v>83</v>
      </c>
      <c r="C60" s="1" t="s">
        <v>15</v>
      </c>
      <c r="D60" s="1">
        <v>37</v>
      </c>
      <c r="E60" s="1">
        <v>264</v>
      </c>
      <c r="F60" s="1">
        <v>1001</v>
      </c>
      <c r="G60" s="1">
        <v>42</v>
      </c>
      <c r="H60" s="1">
        <v>133</v>
      </c>
      <c r="I60" s="1">
        <v>97</v>
      </c>
      <c r="J60" s="1">
        <v>64</v>
      </c>
      <c r="K60" s="1">
        <v>57</v>
      </c>
      <c r="L60" s="1">
        <v>83.8</v>
      </c>
      <c r="M60" s="1">
        <v>39.783730400000003</v>
      </c>
      <c r="N60" s="1">
        <v>-100.445882</v>
      </c>
      <c r="O60" t="str">
        <f t="shared" si="0"/>
        <v>MEDIUM</v>
      </c>
    </row>
    <row r="61" spans="1:15">
      <c r="A61" s="1">
        <v>60</v>
      </c>
      <c r="B61" s="1" t="s">
        <v>84</v>
      </c>
      <c r="C61" s="1" t="s">
        <v>85</v>
      </c>
      <c r="D61" s="1">
        <v>1</v>
      </c>
      <c r="E61" s="1">
        <v>667</v>
      </c>
      <c r="F61" s="1">
        <v>20</v>
      </c>
      <c r="G61" s="1">
        <v>304</v>
      </c>
      <c r="H61" s="1">
        <v>19</v>
      </c>
      <c r="I61" s="1">
        <v>39</v>
      </c>
      <c r="J61" s="1">
        <v>146</v>
      </c>
      <c r="K61" s="1">
        <v>129</v>
      </c>
      <c r="L61" s="1">
        <v>83.7</v>
      </c>
      <c r="M61" s="1">
        <v>36.638392000000003</v>
      </c>
      <c r="N61" s="1">
        <v>127.69611879999999</v>
      </c>
      <c r="O61" t="str">
        <f t="shared" si="0"/>
        <v>MEDIUM</v>
      </c>
    </row>
    <row r="62" spans="1:15">
      <c r="A62" s="1">
        <v>61</v>
      </c>
      <c r="B62" s="1" t="s">
        <v>86</v>
      </c>
      <c r="C62" s="1" t="s">
        <v>66</v>
      </c>
      <c r="D62" s="1">
        <v>2</v>
      </c>
      <c r="E62" s="1">
        <v>19</v>
      </c>
      <c r="F62" s="1">
        <v>400</v>
      </c>
      <c r="G62" s="1">
        <v>15</v>
      </c>
      <c r="H62" s="1">
        <v>177</v>
      </c>
      <c r="I62" s="1">
        <v>143</v>
      </c>
      <c r="J62" s="1">
        <v>122</v>
      </c>
      <c r="K62" s="1">
        <v>405</v>
      </c>
      <c r="L62" s="1">
        <v>83.6</v>
      </c>
      <c r="M62" s="1">
        <v>39.3181528</v>
      </c>
      <c r="N62" s="1">
        <v>-79.810901400000006</v>
      </c>
      <c r="O62" t="str">
        <f t="shared" si="0"/>
        <v>MEDIUM</v>
      </c>
    </row>
    <row r="63" spans="1:15">
      <c r="A63" s="1">
        <v>62</v>
      </c>
      <c r="B63" s="1" t="s">
        <v>87</v>
      </c>
      <c r="C63" s="1" t="s">
        <v>15</v>
      </c>
      <c r="D63" s="1">
        <v>38</v>
      </c>
      <c r="E63" s="1">
        <v>472</v>
      </c>
      <c r="F63" s="1">
        <v>485</v>
      </c>
      <c r="G63" s="1">
        <v>113</v>
      </c>
      <c r="H63" s="1">
        <v>40</v>
      </c>
      <c r="I63" s="1">
        <v>44</v>
      </c>
      <c r="J63" s="1">
        <v>90</v>
      </c>
      <c r="K63" s="1">
        <v>43</v>
      </c>
      <c r="L63" s="1">
        <v>83.6</v>
      </c>
      <c r="M63" s="1">
        <v>39.783730400000003</v>
      </c>
      <c r="N63" s="1">
        <v>-100.445882</v>
      </c>
      <c r="O63" t="str">
        <f t="shared" si="0"/>
        <v>MEDIUM</v>
      </c>
    </row>
    <row r="64" spans="1:15">
      <c r="A64" s="1">
        <v>63</v>
      </c>
      <c r="B64" s="1" t="s">
        <v>88</v>
      </c>
      <c r="C64" s="1" t="s">
        <v>15</v>
      </c>
      <c r="D64" s="1">
        <v>39</v>
      </c>
      <c r="E64" s="1">
        <v>96</v>
      </c>
      <c r="F64" s="1">
        <v>83</v>
      </c>
      <c r="G64" s="1">
        <v>58</v>
      </c>
      <c r="H64" s="1">
        <v>94</v>
      </c>
      <c r="I64" s="1">
        <v>93</v>
      </c>
      <c r="J64" s="1">
        <v>106</v>
      </c>
      <c r="K64" s="1">
        <v>129</v>
      </c>
      <c r="L64" s="1">
        <v>83.5</v>
      </c>
      <c r="M64" s="1">
        <v>39.783730400000003</v>
      </c>
      <c r="N64" s="1">
        <v>-100.445882</v>
      </c>
      <c r="O64" t="str">
        <f t="shared" si="0"/>
        <v>MEDIUM</v>
      </c>
    </row>
    <row r="65" spans="1:15">
      <c r="A65" s="1">
        <v>64</v>
      </c>
      <c r="B65" s="1" t="s">
        <v>89</v>
      </c>
      <c r="C65" s="1" t="s">
        <v>15</v>
      </c>
      <c r="D65" s="1">
        <v>40</v>
      </c>
      <c r="E65" s="1">
        <v>148</v>
      </c>
      <c r="F65" s="1">
        <v>91</v>
      </c>
      <c r="G65" s="1">
        <v>140</v>
      </c>
      <c r="H65" s="1">
        <v>95</v>
      </c>
      <c r="I65" s="1">
        <v>63</v>
      </c>
      <c r="J65" s="1">
        <v>57</v>
      </c>
      <c r="K65" s="1">
        <v>45</v>
      </c>
      <c r="L65" s="1">
        <v>83.4</v>
      </c>
      <c r="M65" s="1">
        <v>39.783730400000003</v>
      </c>
      <c r="N65" s="1">
        <v>-100.445882</v>
      </c>
      <c r="O65" t="str">
        <f t="shared" si="0"/>
        <v>MEDIUM</v>
      </c>
    </row>
    <row r="66" spans="1:15">
      <c r="A66" s="1">
        <v>65</v>
      </c>
      <c r="B66" s="1" t="s">
        <v>90</v>
      </c>
      <c r="C66" s="1" t="s">
        <v>19</v>
      </c>
      <c r="D66" s="1">
        <v>7</v>
      </c>
      <c r="E66" s="1">
        <v>186</v>
      </c>
      <c r="F66" s="1">
        <v>296</v>
      </c>
      <c r="G66" s="1">
        <v>48</v>
      </c>
      <c r="H66" s="1">
        <v>126</v>
      </c>
      <c r="I66" s="1">
        <v>100</v>
      </c>
      <c r="J66" s="1">
        <v>67</v>
      </c>
      <c r="K66" s="1">
        <v>85</v>
      </c>
      <c r="L66" s="1">
        <v>83.4</v>
      </c>
      <c r="M66" s="1">
        <v>54.702354499999998</v>
      </c>
      <c r="N66" s="1">
        <v>-3.2765753000000002</v>
      </c>
      <c r="O66" t="str">
        <f t="shared" si="0"/>
        <v>MEDIUM</v>
      </c>
    </row>
    <row r="67" spans="1:15">
      <c r="A67" s="1">
        <v>66</v>
      </c>
      <c r="B67" s="1" t="s">
        <v>91</v>
      </c>
      <c r="C67" s="1" t="s">
        <v>15</v>
      </c>
      <c r="D67" s="1">
        <v>41</v>
      </c>
      <c r="E67" s="1">
        <v>33</v>
      </c>
      <c r="F67" s="1">
        <v>1001</v>
      </c>
      <c r="G67" s="1">
        <v>39</v>
      </c>
      <c r="H67" s="1">
        <v>244</v>
      </c>
      <c r="I67" s="1">
        <v>151</v>
      </c>
      <c r="J67" s="1">
        <v>34</v>
      </c>
      <c r="K67" s="1">
        <v>187</v>
      </c>
      <c r="L67" s="1">
        <v>83.3</v>
      </c>
      <c r="M67" s="1">
        <v>39.783730400000003</v>
      </c>
      <c r="N67" s="1">
        <v>-100.445882</v>
      </c>
      <c r="O67" t="str">
        <f t="shared" ref="O67:O112" si="1">IF(L67&gt;90,"HIGH",IF(L67&gt;80,"MEDIUM","LOW"))</f>
        <v>MEDIUM</v>
      </c>
    </row>
    <row r="68" spans="1:15">
      <c r="A68" s="1">
        <v>67</v>
      </c>
      <c r="B68" s="1" t="s">
        <v>92</v>
      </c>
      <c r="C68" s="1" t="s">
        <v>93</v>
      </c>
      <c r="D68" s="1">
        <v>1</v>
      </c>
      <c r="E68" s="1">
        <v>117</v>
      </c>
      <c r="F68" s="1">
        <v>486</v>
      </c>
      <c r="G68" s="1">
        <v>34</v>
      </c>
      <c r="H68" s="1">
        <v>61</v>
      </c>
      <c r="I68" s="1">
        <v>103</v>
      </c>
      <c r="J68" s="1">
        <v>195</v>
      </c>
      <c r="K68" s="1">
        <v>71</v>
      </c>
      <c r="L68" s="1">
        <v>83.2</v>
      </c>
      <c r="M68" s="1">
        <v>42.638426099999997</v>
      </c>
      <c r="N68" s="1">
        <v>12.674296999999999</v>
      </c>
      <c r="O68" t="str">
        <f t="shared" si="1"/>
        <v>MEDIUM</v>
      </c>
    </row>
    <row r="69" spans="1:15">
      <c r="A69" s="1">
        <v>68</v>
      </c>
      <c r="B69" s="1" t="s">
        <v>94</v>
      </c>
      <c r="C69" s="1" t="s">
        <v>19</v>
      </c>
      <c r="D69" s="1">
        <v>8</v>
      </c>
      <c r="E69" s="1">
        <v>43</v>
      </c>
      <c r="F69" s="1">
        <v>341</v>
      </c>
      <c r="G69" s="1">
        <v>110</v>
      </c>
      <c r="H69" s="1">
        <v>88</v>
      </c>
      <c r="I69" s="1">
        <v>65</v>
      </c>
      <c r="J69" s="1">
        <v>79</v>
      </c>
      <c r="K69" s="1">
        <v>72</v>
      </c>
      <c r="L69" s="1">
        <v>83.2</v>
      </c>
      <c r="M69" s="1">
        <v>54.702354499999998</v>
      </c>
      <c r="N69" s="1">
        <v>-3.2765753000000002</v>
      </c>
      <c r="O69" t="str">
        <f t="shared" si="1"/>
        <v>MEDIUM</v>
      </c>
    </row>
    <row r="70" spans="1:15">
      <c r="A70" s="1">
        <v>69</v>
      </c>
      <c r="B70" s="1" t="s">
        <v>95</v>
      </c>
      <c r="C70" s="1" t="s">
        <v>46</v>
      </c>
      <c r="D70" s="1">
        <v>3</v>
      </c>
      <c r="E70" s="1">
        <v>267</v>
      </c>
      <c r="F70" s="1">
        <v>771</v>
      </c>
      <c r="G70" s="1">
        <v>108</v>
      </c>
      <c r="H70" s="1">
        <v>80</v>
      </c>
      <c r="I70" s="1">
        <v>70</v>
      </c>
      <c r="J70" s="1">
        <v>49</v>
      </c>
      <c r="K70" s="1">
        <v>51</v>
      </c>
      <c r="L70" s="1">
        <v>83.1</v>
      </c>
      <c r="M70" s="1">
        <v>46.798562400000002</v>
      </c>
      <c r="N70" s="1">
        <v>8.2319735999999999</v>
      </c>
      <c r="O70" t="str">
        <f t="shared" si="1"/>
        <v>MEDIUM</v>
      </c>
    </row>
    <row r="71" spans="1:15">
      <c r="A71" s="1">
        <v>70</v>
      </c>
      <c r="B71" s="1" t="s">
        <v>96</v>
      </c>
      <c r="C71" s="1" t="s">
        <v>15</v>
      </c>
      <c r="D71" s="1">
        <v>42</v>
      </c>
      <c r="E71" s="1">
        <v>149</v>
      </c>
      <c r="F71" s="1">
        <v>596</v>
      </c>
      <c r="G71" s="1">
        <v>25</v>
      </c>
      <c r="H71" s="1">
        <v>229</v>
      </c>
      <c r="I71" s="1">
        <v>146</v>
      </c>
      <c r="J71" s="1">
        <v>80</v>
      </c>
      <c r="K71" s="1">
        <v>63</v>
      </c>
      <c r="L71" s="1">
        <v>83</v>
      </c>
      <c r="M71" s="1">
        <v>39.783730400000003</v>
      </c>
      <c r="N71" s="1">
        <v>-100.445882</v>
      </c>
      <c r="O71" t="str">
        <f t="shared" si="1"/>
        <v>MEDIUM</v>
      </c>
    </row>
    <row r="72" spans="1:15">
      <c r="A72" s="1">
        <v>71</v>
      </c>
      <c r="B72" s="1" t="s">
        <v>97</v>
      </c>
      <c r="C72" s="1" t="s">
        <v>81</v>
      </c>
      <c r="D72" s="1">
        <v>2</v>
      </c>
      <c r="E72" s="1">
        <v>231</v>
      </c>
      <c r="F72" s="1">
        <v>590</v>
      </c>
      <c r="G72" s="1">
        <v>208</v>
      </c>
      <c r="H72" s="1">
        <v>27</v>
      </c>
      <c r="I72" s="1">
        <v>33</v>
      </c>
      <c r="J72" s="1">
        <v>71</v>
      </c>
      <c r="K72" s="1">
        <v>46</v>
      </c>
      <c r="L72" s="1">
        <v>83</v>
      </c>
      <c r="M72" s="1">
        <v>-24.776108600000001</v>
      </c>
      <c r="N72" s="1">
        <v>134.755</v>
      </c>
      <c r="O72" t="str">
        <f t="shared" si="1"/>
        <v>MEDIUM</v>
      </c>
    </row>
    <row r="73" spans="1:15">
      <c r="A73" s="1">
        <v>72</v>
      </c>
      <c r="B73" s="1" t="s">
        <v>98</v>
      </c>
      <c r="C73" s="1" t="s">
        <v>99</v>
      </c>
      <c r="D73" s="1">
        <v>1</v>
      </c>
      <c r="E73" s="1">
        <v>122</v>
      </c>
      <c r="F73" s="1">
        <v>352</v>
      </c>
      <c r="G73" s="1">
        <v>137</v>
      </c>
      <c r="H73" s="1">
        <v>58</v>
      </c>
      <c r="I73" s="1">
        <v>43</v>
      </c>
      <c r="J73" s="1">
        <v>56</v>
      </c>
      <c r="K73" s="1">
        <v>66</v>
      </c>
      <c r="L73" s="1">
        <v>82.9</v>
      </c>
      <c r="M73" s="1">
        <v>52.243497900000001</v>
      </c>
      <c r="N73" s="1">
        <v>5.6343227000000002</v>
      </c>
      <c r="O73" t="str">
        <f t="shared" si="1"/>
        <v>MEDIUM</v>
      </c>
    </row>
    <row r="74" spans="1:15">
      <c r="A74" s="1">
        <v>73</v>
      </c>
      <c r="B74" s="1" t="s">
        <v>100</v>
      </c>
      <c r="C74" s="1" t="s">
        <v>15</v>
      </c>
      <c r="D74" s="1">
        <v>43</v>
      </c>
      <c r="E74" s="1">
        <v>187</v>
      </c>
      <c r="F74" s="1">
        <v>233</v>
      </c>
      <c r="G74" s="1">
        <v>304</v>
      </c>
      <c r="H74" s="1">
        <v>34</v>
      </c>
      <c r="I74" s="1">
        <v>25</v>
      </c>
      <c r="J74" s="1">
        <v>47</v>
      </c>
      <c r="K74" s="1">
        <v>18</v>
      </c>
      <c r="L74" s="1">
        <v>82.9</v>
      </c>
      <c r="M74" s="1">
        <v>39.783730400000003</v>
      </c>
      <c r="N74" s="1">
        <v>-100.445882</v>
      </c>
      <c r="O74" t="str">
        <f t="shared" si="1"/>
        <v>MEDIUM</v>
      </c>
    </row>
    <row r="75" spans="1:15">
      <c r="A75" s="1">
        <v>74</v>
      </c>
      <c r="B75" s="1" t="s">
        <v>101</v>
      </c>
      <c r="C75" s="1" t="s">
        <v>81</v>
      </c>
      <c r="D75" s="1">
        <v>3</v>
      </c>
      <c r="E75" s="1">
        <v>310</v>
      </c>
      <c r="F75" s="1">
        <v>541</v>
      </c>
      <c r="G75" s="1">
        <v>181</v>
      </c>
      <c r="H75" s="1">
        <v>46</v>
      </c>
      <c r="I75" s="1">
        <v>51</v>
      </c>
      <c r="J75" s="1">
        <v>63</v>
      </c>
      <c r="K75" s="1">
        <v>53</v>
      </c>
      <c r="L75" s="1">
        <v>82.8</v>
      </c>
      <c r="M75" s="1">
        <v>-24.776108600000001</v>
      </c>
      <c r="N75" s="1">
        <v>134.755</v>
      </c>
      <c r="O75" t="str">
        <f t="shared" si="1"/>
        <v>MEDIUM</v>
      </c>
    </row>
    <row r="76" spans="1:15">
      <c r="A76" s="1">
        <v>75</v>
      </c>
      <c r="B76" s="1" t="s">
        <v>102</v>
      </c>
      <c r="C76" s="1" t="s">
        <v>103</v>
      </c>
      <c r="D76" s="1">
        <v>1</v>
      </c>
      <c r="E76" s="1">
        <v>97</v>
      </c>
      <c r="F76" s="1">
        <v>633</v>
      </c>
      <c r="G76" s="1">
        <v>52</v>
      </c>
      <c r="H76" s="1">
        <v>99</v>
      </c>
      <c r="I76" s="1">
        <v>102</v>
      </c>
      <c r="J76" s="1">
        <v>112</v>
      </c>
      <c r="K76" s="1">
        <v>93</v>
      </c>
      <c r="L76" s="1">
        <v>82.8</v>
      </c>
      <c r="M76" s="1">
        <v>64.573153700000006</v>
      </c>
      <c r="N76" s="2" t="s">
        <v>104</v>
      </c>
      <c r="O76" t="str">
        <f t="shared" si="1"/>
        <v>MEDIUM</v>
      </c>
    </row>
    <row r="77" spans="1:15">
      <c r="A77" s="1">
        <v>76</v>
      </c>
      <c r="B77" s="1" t="s">
        <v>105</v>
      </c>
      <c r="C77" s="1" t="s">
        <v>15</v>
      </c>
      <c r="D77" s="1">
        <v>44</v>
      </c>
      <c r="E77" s="1">
        <v>15</v>
      </c>
      <c r="F77" s="1">
        <v>1001</v>
      </c>
      <c r="G77" s="1">
        <v>14</v>
      </c>
      <c r="H77" s="1">
        <v>786</v>
      </c>
      <c r="I77" s="1">
        <v>434</v>
      </c>
      <c r="J77" s="1">
        <v>32</v>
      </c>
      <c r="K77" s="1">
        <v>275</v>
      </c>
      <c r="L77" s="1">
        <v>82.7</v>
      </c>
      <c r="M77" s="1">
        <v>39.783730400000003</v>
      </c>
      <c r="N77" s="1">
        <v>-100.445882</v>
      </c>
      <c r="O77" t="str">
        <f t="shared" si="1"/>
        <v>MEDIUM</v>
      </c>
    </row>
    <row r="78" spans="1:15">
      <c r="A78" s="1">
        <v>77</v>
      </c>
      <c r="B78" s="1" t="s">
        <v>106</v>
      </c>
      <c r="C78" s="1" t="s">
        <v>107</v>
      </c>
      <c r="D78" s="1">
        <v>1</v>
      </c>
      <c r="E78" s="1">
        <v>583</v>
      </c>
      <c r="F78" s="1">
        <v>256</v>
      </c>
      <c r="G78" s="1">
        <v>109</v>
      </c>
      <c r="H78" s="1">
        <v>4</v>
      </c>
      <c r="I78" s="1">
        <v>60</v>
      </c>
      <c r="J78" s="1">
        <v>162</v>
      </c>
      <c r="K78" s="1">
        <v>139</v>
      </c>
      <c r="L78" s="1">
        <v>82.6</v>
      </c>
      <c r="M78" s="1">
        <v>-10.3333333</v>
      </c>
      <c r="N78" s="1">
        <v>-53.2</v>
      </c>
      <c r="O78" t="str">
        <f t="shared" si="1"/>
        <v>MEDIUM</v>
      </c>
    </row>
    <row r="79" spans="1:15">
      <c r="A79" s="1">
        <v>78</v>
      </c>
      <c r="B79" s="1" t="s">
        <v>108</v>
      </c>
      <c r="C79" s="1" t="s">
        <v>15</v>
      </c>
      <c r="D79" s="1">
        <v>45</v>
      </c>
      <c r="E79" s="1">
        <v>625</v>
      </c>
      <c r="F79" s="1">
        <v>183</v>
      </c>
      <c r="G79" s="1">
        <v>57</v>
      </c>
      <c r="H79" s="1">
        <v>85</v>
      </c>
      <c r="I79" s="1">
        <v>95</v>
      </c>
      <c r="J79" s="1">
        <v>133</v>
      </c>
      <c r="K79" s="1">
        <v>101</v>
      </c>
      <c r="L79" s="1">
        <v>82.6</v>
      </c>
      <c r="M79" s="1">
        <v>39.783730400000003</v>
      </c>
      <c r="N79" s="1">
        <v>-100.445882</v>
      </c>
      <c r="O79" t="str">
        <f t="shared" si="1"/>
        <v>MEDIUM</v>
      </c>
    </row>
    <row r="80" spans="1:15">
      <c r="A80" s="1">
        <v>79</v>
      </c>
      <c r="B80" s="1" t="s">
        <v>109</v>
      </c>
      <c r="C80" s="1" t="s">
        <v>15</v>
      </c>
      <c r="D80" s="1">
        <v>46</v>
      </c>
      <c r="E80" s="1">
        <v>271</v>
      </c>
      <c r="F80" s="1">
        <v>31</v>
      </c>
      <c r="G80" s="1">
        <v>168</v>
      </c>
      <c r="H80" s="1">
        <v>151</v>
      </c>
      <c r="I80" s="1">
        <v>116</v>
      </c>
      <c r="J80" s="1">
        <v>95</v>
      </c>
      <c r="K80" s="1">
        <v>85</v>
      </c>
      <c r="L80" s="1">
        <v>82.5</v>
      </c>
      <c r="M80" s="1">
        <v>39.783730400000003</v>
      </c>
      <c r="N80" s="1">
        <v>-100.445882</v>
      </c>
      <c r="O80" t="str">
        <f t="shared" si="1"/>
        <v>MEDIUM</v>
      </c>
    </row>
    <row r="81" spans="1:15">
      <c r="A81" s="1">
        <v>80</v>
      </c>
      <c r="B81" s="1" t="s">
        <v>110</v>
      </c>
      <c r="C81" s="1" t="s">
        <v>15</v>
      </c>
      <c r="D81" s="1">
        <v>47</v>
      </c>
      <c r="E81" s="1">
        <v>667</v>
      </c>
      <c r="F81" s="1">
        <v>197</v>
      </c>
      <c r="G81" s="1">
        <v>164</v>
      </c>
      <c r="H81" s="1">
        <v>101</v>
      </c>
      <c r="I81" s="1">
        <v>66</v>
      </c>
      <c r="J81" s="1">
        <v>55</v>
      </c>
      <c r="K81" s="1">
        <v>63</v>
      </c>
      <c r="L81" s="1">
        <v>82.5</v>
      </c>
      <c r="M81" s="1">
        <v>39.783730400000003</v>
      </c>
      <c r="N81" s="1">
        <v>-100.445882</v>
      </c>
      <c r="O81" t="str">
        <f t="shared" si="1"/>
        <v>MEDIUM</v>
      </c>
    </row>
    <row r="82" spans="1:15">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c r="O82" t="str">
        <f t="shared" si="1"/>
        <v>MEDIUM</v>
      </c>
    </row>
    <row r="83" spans="1:15">
      <c r="A83" s="1">
        <v>82</v>
      </c>
      <c r="B83" s="1" t="s">
        <v>112</v>
      </c>
      <c r="C83" s="1" t="s">
        <v>81</v>
      </c>
      <c r="D83" s="1">
        <v>4</v>
      </c>
      <c r="E83" s="1">
        <v>188</v>
      </c>
      <c r="F83" s="1">
        <v>666</v>
      </c>
      <c r="G83" s="1">
        <v>37</v>
      </c>
      <c r="H83" s="1">
        <v>153</v>
      </c>
      <c r="I83" s="1">
        <v>136</v>
      </c>
      <c r="J83" s="1">
        <v>101</v>
      </c>
      <c r="K83" s="1">
        <v>121</v>
      </c>
      <c r="L83" s="1">
        <v>82.4</v>
      </c>
      <c r="M83" s="1">
        <v>-24.776108600000001</v>
      </c>
      <c r="N83" s="1">
        <v>134.755</v>
      </c>
      <c r="O83" t="str">
        <f t="shared" si="1"/>
        <v>MEDIUM</v>
      </c>
    </row>
    <row r="84" spans="1:15">
      <c r="A84" s="1">
        <v>83</v>
      </c>
      <c r="B84" s="1" t="s">
        <v>113</v>
      </c>
      <c r="C84" s="1" t="s">
        <v>15</v>
      </c>
      <c r="D84" s="1">
        <v>48</v>
      </c>
      <c r="E84" s="1">
        <v>169</v>
      </c>
      <c r="F84" s="1">
        <v>187</v>
      </c>
      <c r="G84" s="1">
        <v>80</v>
      </c>
      <c r="H84" s="1">
        <v>125</v>
      </c>
      <c r="I84" s="1">
        <v>105</v>
      </c>
      <c r="J84" s="1">
        <v>68</v>
      </c>
      <c r="K84" s="1">
        <v>93</v>
      </c>
      <c r="L84" s="1">
        <v>82.3</v>
      </c>
      <c r="M84" s="1">
        <v>39.783730400000003</v>
      </c>
      <c r="N84" s="1">
        <v>-100.445882</v>
      </c>
      <c r="O84" t="str">
        <f t="shared" si="1"/>
        <v>MEDIUM</v>
      </c>
    </row>
    <row r="85" spans="1:15">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c r="O85" t="str">
        <f t="shared" si="1"/>
        <v>MEDIUM</v>
      </c>
    </row>
    <row r="86" spans="1:15">
      <c r="A86" s="1">
        <v>85</v>
      </c>
      <c r="B86" s="1" t="s">
        <v>115</v>
      </c>
      <c r="C86" s="1" t="s">
        <v>66</v>
      </c>
      <c r="D86" s="1">
        <v>3</v>
      </c>
      <c r="E86" s="1">
        <v>105</v>
      </c>
      <c r="F86" s="1">
        <v>143</v>
      </c>
      <c r="G86" s="1">
        <v>59</v>
      </c>
      <c r="H86" s="1">
        <v>108</v>
      </c>
      <c r="I86" s="1">
        <v>115</v>
      </c>
      <c r="J86" s="1">
        <v>129</v>
      </c>
      <c r="K86" s="1">
        <v>151</v>
      </c>
      <c r="L86" s="1">
        <v>82.2</v>
      </c>
      <c r="M86" s="1">
        <v>39.3181528</v>
      </c>
      <c r="N86" s="1">
        <v>-79.810901400000006</v>
      </c>
      <c r="O86" t="str">
        <f t="shared" si="1"/>
        <v>MEDIUM</v>
      </c>
    </row>
    <row r="87" spans="1:15">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c r="O87" t="str">
        <f t="shared" si="1"/>
        <v>MEDIUM</v>
      </c>
    </row>
    <row r="88" spans="1:15">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c r="O88" t="str">
        <f t="shared" si="1"/>
        <v>MEDIUM</v>
      </c>
    </row>
    <row r="89" spans="1:15">
      <c r="A89" s="1">
        <v>88</v>
      </c>
      <c r="B89" s="1" t="s">
        <v>119</v>
      </c>
      <c r="C89" s="1" t="s">
        <v>59</v>
      </c>
      <c r="D89" s="1">
        <v>2</v>
      </c>
      <c r="E89" s="1">
        <v>589</v>
      </c>
      <c r="F89" s="1">
        <v>379</v>
      </c>
      <c r="G89" s="1">
        <v>114</v>
      </c>
      <c r="H89" s="1">
        <v>83</v>
      </c>
      <c r="I89" s="1">
        <v>79</v>
      </c>
      <c r="J89" s="1">
        <v>78</v>
      </c>
      <c r="K89" s="1">
        <v>121</v>
      </c>
      <c r="L89" s="1">
        <v>82.1</v>
      </c>
      <c r="M89" s="1">
        <v>55.670248999999998</v>
      </c>
      <c r="N89" s="1">
        <v>10.3333283</v>
      </c>
      <c r="O89" t="str">
        <f t="shared" si="1"/>
        <v>MEDIUM</v>
      </c>
    </row>
    <row r="90" spans="1:15">
      <c r="A90" s="1">
        <v>89</v>
      </c>
      <c r="B90" s="1" t="s">
        <v>120</v>
      </c>
      <c r="C90" s="1" t="s">
        <v>15</v>
      </c>
      <c r="D90" s="1">
        <v>49</v>
      </c>
      <c r="E90" s="1">
        <v>667</v>
      </c>
      <c r="F90" s="1">
        <v>1001</v>
      </c>
      <c r="G90" s="1">
        <v>91</v>
      </c>
      <c r="H90" s="1">
        <v>158</v>
      </c>
      <c r="I90" s="1">
        <v>104</v>
      </c>
      <c r="J90" s="1">
        <v>70</v>
      </c>
      <c r="K90" s="1">
        <v>66</v>
      </c>
      <c r="L90" s="1">
        <v>82</v>
      </c>
      <c r="M90" s="1">
        <v>39.783730400000003</v>
      </c>
      <c r="N90" s="1">
        <v>-100.445882</v>
      </c>
      <c r="O90" t="str">
        <f t="shared" si="1"/>
        <v>MEDIUM</v>
      </c>
    </row>
    <row r="91" spans="1:15">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c r="O91" t="str">
        <f t="shared" si="1"/>
        <v>MEDIUM</v>
      </c>
    </row>
    <row r="92" spans="1:15">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c r="O92" t="str">
        <f t="shared" si="1"/>
        <v>MEDIUM</v>
      </c>
    </row>
    <row r="93" spans="1:15">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c r="O93" t="str">
        <f t="shared" si="1"/>
        <v>MEDIUM</v>
      </c>
    </row>
    <row r="94" spans="1:15">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c r="O94" t="str">
        <f t="shared" si="1"/>
        <v>MEDIUM</v>
      </c>
    </row>
    <row r="95" spans="1:15">
      <c r="A95" s="1">
        <v>94</v>
      </c>
      <c r="B95" s="1" t="s">
        <v>127</v>
      </c>
      <c r="C95" s="1" t="s">
        <v>15</v>
      </c>
      <c r="D95" s="1">
        <v>51</v>
      </c>
      <c r="E95" s="1">
        <v>667</v>
      </c>
      <c r="F95" s="1">
        <v>1001</v>
      </c>
      <c r="G95" s="1">
        <v>141</v>
      </c>
      <c r="H95" s="1">
        <v>161</v>
      </c>
      <c r="I95" s="1">
        <v>118</v>
      </c>
      <c r="J95" s="1">
        <v>38</v>
      </c>
      <c r="K95" s="1">
        <v>53</v>
      </c>
      <c r="L95" s="1">
        <v>81.8</v>
      </c>
      <c r="M95" s="1">
        <v>39.783730400000003</v>
      </c>
      <c r="N95" s="1">
        <v>-100.445882</v>
      </c>
      <c r="O95" t="str">
        <f t="shared" si="1"/>
        <v>MEDIUM</v>
      </c>
    </row>
    <row r="96" spans="1:15">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c r="O96" t="str">
        <f t="shared" si="1"/>
        <v>MEDIUM</v>
      </c>
    </row>
    <row r="97" spans="1:15">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c r="O97" t="str">
        <f t="shared" si="1"/>
        <v>MEDIUM</v>
      </c>
    </row>
    <row r="98" spans="1:15">
      <c r="A98" s="11" t="s">
        <v>3</v>
      </c>
      <c r="B98" s="12" t="s">
        <v>133</v>
      </c>
    </row>
    <row r="99" spans="1:15">
      <c r="A99" s="7">
        <v>1</v>
      </c>
    </row>
    <row r="100" spans="1:15">
      <c r="A100" s="4" t="s">
        <v>130</v>
      </c>
      <c r="B100" s="4" t="s">
        <v>134</v>
      </c>
    </row>
    <row r="101" spans="1:15">
      <c r="A101" s="4" t="s">
        <v>131</v>
      </c>
      <c r="B101">
        <v>91.9</v>
      </c>
      <c r="C101">
        <v>92.5</v>
      </c>
      <c r="D101">
        <v>95.1</v>
      </c>
      <c r="E101">
        <v>96.7</v>
      </c>
      <c r="F101">
        <v>100</v>
      </c>
      <c r="G101" t="s">
        <v>132</v>
      </c>
    </row>
    <row r="102" spans="1:15">
      <c r="A102" s="5">
        <v>1</v>
      </c>
      <c r="B102" s="3"/>
      <c r="C102" s="3"/>
      <c r="D102" s="3"/>
      <c r="E102" s="3"/>
      <c r="F102" s="3">
        <v>1</v>
      </c>
      <c r="G102" s="3">
        <v>1</v>
      </c>
    </row>
    <row r="103" spans="1:15">
      <c r="A103" s="6" t="s">
        <v>14</v>
      </c>
      <c r="B103" s="3"/>
      <c r="C103" s="3"/>
      <c r="D103" s="3"/>
      <c r="E103" s="3"/>
      <c r="F103" s="3">
        <v>1</v>
      </c>
      <c r="G103" s="3">
        <v>1</v>
      </c>
    </row>
    <row r="104" spans="1:15">
      <c r="A104" s="5">
        <v>2</v>
      </c>
      <c r="B104" s="3"/>
      <c r="C104" s="3"/>
      <c r="D104" s="3"/>
      <c r="E104" s="10">
        <v>2</v>
      </c>
      <c r="F104" s="3"/>
      <c r="G104" s="3">
        <v>2</v>
      </c>
    </row>
    <row r="105" spans="1:15">
      <c r="A105" s="6" t="s">
        <v>16</v>
      </c>
      <c r="B105" s="3"/>
      <c r="C105" s="3"/>
      <c r="D105" s="3"/>
      <c r="E105" s="3">
        <v>2</v>
      </c>
      <c r="F105" s="3"/>
      <c r="G105" s="3">
        <v>2</v>
      </c>
    </row>
    <row r="106" spans="1:15">
      <c r="A106" s="5">
        <v>3</v>
      </c>
      <c r="B106" s="3"/>
      <c r="C106" s="3"/>
      <c r="D106" s="3">
        <v>3</v>
      </c>
      <c r="E106" s="3"/>
      <c r="F106" s="3"/>
      <c r="G106" s="3">
        <v>3</v>
      </c>
    </row>
    <row r="107" spans="1:15">
      <c r="A107" s="6" t="s">
        <v>17</v>
      </c>
      <c r="B107" s="3"/>
      <c r="C107" s="3"/>
      <c r="D107" s="3">
        <v>3</v>
      </c>
      <c r="E107" s="3"/>
      <c r="F107" s="3"/>
      <c r="G107" s="3">
        <v>3</v>
      </c>
    </row>
    <row r="108" spans="1:15">
      <c r="A108" s="5">
        <v>4</v>
      </c>
      <c r="B108" s="3">
        <v>7</v>
      </c>
      <c r="C108" s="3"/>
      <c r="D108" s="3"/>
      <c r="E108" s="3"/>
      <c r="F108" s="3"/>
      <c r="G108" s="3">
        <v>7</v>
      </c>
    </row>
    <row r="109" spans="1:15">
      <c r="A109" s="6" t="s">
        <v>22</v>
      </c>
      <c r="B109" s="3">
        <v>7</v>
      </c>
      <c r="C109" s="3"/>
      <c r="D109" s="3"/>
      <c r="E109" s="3"/>
      <c r="F109" s="3"/>
      <c r="G109" s="3">
        <v>7</v>
      </c>
    </row>
    <row r="110" spans="1:15">
      <c r="A110" s="5">
        <v>5</v>
      </c>
      <c r="B110" s="3"/>
      <c r="C110" s="3">
        <v>6</v>
      </c>
      <c r="D110" s="3"/>
      <c r="E110" s="3"/>
      <c r="F110" s="3"/>
      <c r="G110" s="3">
        <v>6</v>
      </c>
    </row>
    <row r="111" spans="1:15">
      <c r="A111" s="6" t="s">
        <v>21</v>
      </c>
      <c r="B111" s="3"/>
      <c r="C111" s="3">
        <v>6</v>
      </c>
      <c r="D111" s="3"/>
      <c r="E111" s="3"/>
      <c r="F111" s="3"/>
      <c r="G111" s="3">
        <v>6</v>
      </c>
    </row>
    <row r="112" spans="1:15">
      <c r="A112" s="13" t="s">
        <v>132</v>
      </c>
      <c r="B112" s="14">
        <v>7</v>
      </c>
      <c r="C112" s="14">
        <v>6</v>
      </c>
      <c r="D112" s="14">
        <v>3</v>
      </c>
      <c r="E112" s="14">
        <v>2</v>
      </c>
      <c r="F112" s="14">
        <v>1</v>
      </c>
      <c r="G112" s="14">
        <v>19</v>
      </c>
    </row>
    <row r="115" spans="5:15" ht="39">
      <c r="E115" s="8"/>
      <c r="F115" s="9" t="s">
        <v>136</v>
      </c>
      <c r="H115" s="8"/>
      <c r="O115" s="15" t="s">
        <v>137</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EB9-5E45-4DEE-B19B-3CEEAC67A5B2}">
  <sheetPr>
    <tabColor rgb="FF92D050"/>
  </sheetPr>
  <dimension ref="A1:T102"/>
  <sheetViews>
    <sheetView tabSelected="1" topLeftCell="A76" workbookViewId="0">
      <selection activeCell="A102" sqref="A102"/>
    </sheetView>
  </sheetViews>
  <sheetFormatPr defaultRowHeight="15"/>
  <cols>
    <col min="1" max="1" width="13.28515625" customWidth="1"/>
    <col min="2" max="2" width="12.42578125" customWidth="1"/>
    <col min="3" max="3" width="10.5703125" customWidth="1"/>
    <col min="4" max="4" width="15.42578125" customWidth="1"/>
    <col min="5" max="5" width="21" customWidth="1"/>
    <col min="6" max="6" width="21.28515625" customWidth="1"/>
    <col min="7" max="7" width="18.5703125" customWidth="1"/>
    <col min="8" max="8" width="17.85546875" customWidth="1"/>
    <col min="9" max="9" width="20.85546875" customWidth="1"/>
    <col min="10" max="10" width="11.5703125" customWidth="1"/>
    <col min="11" max="11" width="11" customWidth="1"/>
    <col min="13" max="13" width="10.42578125" customWidth="1"/>
    <col min="14" max="14" width="12" customWidth="1"/>
    <col min="15" max="15" width="11.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7" t="s">
        <v>135</v>
      </c>
    </row>
    <row r="2" spans="1:15">
      <c r="A2" s="1">
        <v>1</v>
      </c>
      <c r="B2" s="1" t="s">
        <v>14</v>
      </c>
      <c r="C2" s="1" t="s">
        <v>15</v>
      </c>
      <c r="D2" s="1">
        <v>1</v>
      </c>
      <c r="E2" s="1">
        <v>2</v>
      </c>
      <c r="F2" s="1">
        <v>1</v>
      </c>
      <c r="G2" s="1">
        <v>1</v>
      </c>
      <c r="H2" s="1">
        <v>1</v>
      </c>
      <c r="I2" s="1">
        <v>1</v>
      </c>
      <c r="J2" s="1">
        <v>1</v>
      </c>
      <c r="K2" s="1">
        <v>1</v>
      </c>
      <c r="L2" s="1">
        <v>100</v>
      </c>
      <c r="M2" s="1">
        <v>39.783730400000003</v>
      </c>
      <c r="N2" s="1">
        <v>-100.445882</v>
      </c>
      <c r="O2" t="str">
        <f>IF(L2&gt;90,"HIGH",IF(L2&gt;80,"MEDIUM","LOW"))</f>
        <v>HIGH</v>
      </c>
    </row>
    <row r="3" spans="1:15">
      <c r="A3" s="1">
        <v>2</v>
      </c>
      <c r="B3" s="1" t="s">
        <v>16</v>
      </c>
      <c r="C3" s="1" t="s">
        <v>15</v>
      </c>
      <c r="D3" s="1">
        <v>2</v>
      </c>
      <c r="E3" s="1">
        <v>10</v>
      </c>
      <c r="F3" s="1">
        <v>3</v>
      </c>
      <c r="G3" s="1">
        <v>2</v>
      </c>
      <c r="H3" s="1">
        <v>10</v>
      </c>
      <c r="I3" s="1">
        <v>4</v>
      </c>
      <c r="J3" s="1">
        <v>3</v>
      </c>
      <c r="K3" s="1">
        <v>2</v>
      </c>
      <c r="L3" s="1">
        <v>96.7</v>
      </c>
      <c r="M3" s="1">
        <v>39.783730400000003</v>
      </c>
      <c r="N3" s="1">
        <v>-100.445882</v>
      </c>
      <c r="O3" t="str">
        <f t="shared" ref="O3:O66" si="0">IF(L3&gt;90,"HIGH",IF(L3&gt;80,"MEDIUM","LOW"))</f>
        <v>HIGH</v>
      </c>
    </row>
    <row r="4" spans="1:15">
      <c r="A4" s="1">
        <v>3</v>
      </c>
      <c r="B4" s="1" t="s">
        <v>17</v>
      </c>
      <c r="C4" s="1" t="s">
        <v>15</v>
      </c>
      <c r="D4" s="1">
        <v>3</v>
      </c>
      <c r="E4" s="1">
        <v>3</v>
      </c>
      <c r="F4" s="1">
        <v>11</v>
      </c>
      <c r="G4" s="1">
        <v>3</v>
      </c>
      <c r="H4" s="1">
        <v>30</v>
      </c>
      <c r="I4" s="1">
        <v>15</v>
      </c>
      <c r="J4" s="1">
        <v>2</v>
      </c>
      <c r="K4" s="1">
        <v>6</v>
      </c>
      <c r="L4" s="1">
        <v>95.1</v>
      </c>
      <c r="M4" s="1">
        <v>39.783730400000003</v>
      </c>
      <c r="N4" s="1">
        <v>-100.445882</v>
      </c>
      <c r="O4" t="str">
        <f t="shared" si="0"/>
        <v>HIGH</v>
      </c>
    </row>
    <row r="5" spans="1:15">
      <c r="A5" s="1">
        <v>4</v>
      </c>
      <c r="B5" s="1" t="s">
        <v>18</v>
      </c>
      <c r="C5" s="1" t="s">
        <v>19</v>
      </c>
      <c r="D5" s="1">
        <v>1</v>
      </c>
      <c r="E5" s="1">
        <v>5</v>
      </c>
      <c r="F5" s="1">
        <v>19</v>
      </c>
      <c r="G5" s="1">
        <v>6</v>
      </c>
      <c r="H5" s="1">
        <v>12</v>
      </c>
      <c r="I5" s="1">
        <v>8</v>
      </c>
      <c r="J5" s="1">
        <v>6</v>
      </c>
      <c r="K5" s="1">
        <v>19</v>
      </c>
      <c r="L5" s="1">
        <v>94</v>
      </c>
      <c r="M5" s="1">
        <v>54.702354499999998</v>
      </c>
      <c r="N5" s="1">
        <v>-3.2765753000000002</v>
      </c>
      <c r="O5" t="str">
        <f t="shared" si="0"/>
        <v>HIGH</v>
      </c>
    </row>
    <row r="6" spans="1:15">
      <c r="A6" s="1">
        <v>5</v>
      </c>
      <c r="B6" s="1" t="s">
        <v>20</v>
      </c>
      <c r="C6" s="1" t="s">
        <v>19</v>
      </c>
      <c r="D6" s="1">
        <v>2</v>
      </c>
      <c r="E6" s="1">
        <v>9</v>
      </c>
      <c r="F6" s="1">
        <v>25</v>
      </c>
      <c r="G6" s="1">
        <v>10</v>
      </c>
      <c r="H6" s="1">
        <v>9</v>
      </c>
      <c r="I6" s="1">
        <v>5</v>
      </c>
      <c r="J6" s="1">
        <v>7</v>
      </c>
      <c r="K6" s="1">
        <v>4</v>
      </c>
      <c r="L6" s="1">
        <v>93.2</v>
      </c>
      <c r="M6" s="1">
        <v>54.702354499999998</v>
      </c>
      <c r="N6" s="1">
        <v>-3.2765753000000002</v>
      </c>
      <c r="O6" t="str">
        <f t="shared" si="0"/>
        <v>HIGH</v>
      </c>
    </row>
    <row r="7" spans="1:15">
      <c r="A7" s="1">
        <v>6</v>
      </c>
      <c r="B7" s="1" t="s">
        <v>21</v>
      </c>
      <c r="C7" s="1" t="s">
        <v>15</v>
      </c>
      <c r="D7" s="1">
        <v>4</v>
      </c>
      <c r="E7" s="1">
        <v>7</v>
      </c>
      <c r="F7" s="1">
        <v>52</v>
      </c>
      <c r="G7" s="1">
        <v>5</v>
      </c>
      <c r="H7" s="1">
        <v>18</v>
      </c>
      <c r="I7" s="1">
        <v>12</v>
      </c>
      <c r="J7" s="1">
        <v>4</v>
      </c>
      <c r="K7" s="1">
        <v>8</v>
      </c>
      <c r="L7" s="1">
        <v>92.5</v>
      </c>
      <c r="M7" s="1">
        <v>39.783730400000003</v>
      </c>
      <c r="N7" s="1">
        <v>-100.445882</v>
      </c>
      <c r="O7" t="str">
        <f t="shared" si="0"/>
        <v>HIGH</v>
      </c>
    </row>
    <row r="8" spans="1:15">
      <c r="A8" s="1">
        <v>7</v>
      </c>
      <c r="B8" s="1" t="s">
        <v>22</v>
      </c>
      <c r="C8" s="1" t="s">
        <v>15</v>
      </c>
      <c r="D8" s="1">
        <v>5</v>
      </c>
      <c r="E8" s="1">
        <v>4</v>
      </c>
      <c r="F8" s="1">
        <v>15</v>
      </c>
      <c r="G8" s="1">
        <v>4</v>
      </c>
      <c r="H8" s="1">
        <v>146</v>
      </c>
      <c r="I8" s="1">
        <v>99</v>
      </c>
      <c r="J8" s="1">
        <v>28</v>
      </c>
      <c r="K8" s="1">
        <v>27</v>
      </c>
      <c r="L8" s="1">
        <v>91.9</v>
      </c>
      <c r="M8" s="1">
        <v>39.783730400000003</v>
      </c>
      <c r="N8" s="1">
        <v>-100.445882</v>
      </c>
      <c r="O8" t="str">
        <f t="shared" si="0"/>
        <v>HIGH</v>
      </c>
    </row>
    <row r="9" spans="1:15">
      <c r="A9" s="1">
        <v>8</v>
      </c>
      <c r="B9" s="1" t="s">
        <v>23</v>
      </c>
      <c r="C9" s="1" t="s">
        <v>15</v>
      </c>
      <c r="D9" s="1">
        <v>6</v>
      </c>
      <c r="E9" s="1">
        <v>16</v>
      </c>
      <c r="F9" s="1">
        <v>13</v>
      </c>
      <c r="G9" s="1">
        <v>8</v>
      </c>
      <c r="H9" s="1">
        <v>20</v>
      </c>
      <c r="I9" s="1">
        <v>14</v>
      </c>
      <c r="J9" s="1">
        <v>10</v>
      </c>
      <c r="K9" s="1">
        <v>10</v>
      </c>
      <c r="L9" s="1">
        <v>91.4</v>
      </c>
      <c r="M9" s="1">
        <v>39.783730400000003</v>
      </c>
      <c r="N9" s="1">
        <v>-100.445882</v>
      </c>
      <c r="O9" t="str">
        <f t="shared" si="0"/>
        <v>HIGH</v>
      </c>
    </row>
    <row r="10" spans="1:15">
      <c r="A10" s="1">
        <v>9</v>
      </c>
      <c r="B10" s="1" t="s">
        <v>24</v>
      </c>
      <c r="C10" s="1" t="s">
        <v>15</v>
      </c>
      <c r="D10" s="1">
        <v>7</v>
      </c>
      <c r="E10" s="1">
        <v>1</v>
      </c>
      <c r="F10" s="1">
        <v>200</v>
      </c>
      <c r="G10" s="1">
        <v>7</v>
      </c>
      <c r="H10" s="1">
        <v>127</v>
      </c>
      <c r="I10" s="1">
        <v>81</v>
      </c>
      <c r="J10" s="1">
        <v>13</v>
      </c>
      <c r="K10" s="1">
        <v>31</v>
      </c>
      <c r="L10" s="1">
        <v>91</v>
      </c>
      <c r="M10" s="1">
        <v>39.783730400000003</v>
      </c>
      <c r="N10" s="1">
        <v>-100.445882</v>
      </c>
      <c r="O10" t="str">
        <f t="shared" si="0"/>
        <v>HIGH</v>
      </c>
    </row>
    <row r="11" spans="1:15">
      <c r="A11" s="1">
        <v>10</v>
      </c>
      <c r="B11" s="1" t="s">
        <v>25</v>
      </c>
      <c r="C11" s="1" t="s">
        <v>15</v>
      </c>
      <c r="D11" s="1">
        <v>8</v>
      </c>
      <c r="E11" s="1">
        <v>13</v>
      </c>
      <c r="F11" s="1">
        <v>22</v>
      </c>
      <c r="G11" s="1">
        <v>9</v>
      </c>
      <c r="H11" s="1">
        <v>39</v>
      </c>
      <c r="I11" s="1">
        <v>22</v>
      </c>
      <c r="J11" s="1">
        <v>18</v>
      </c>
      <c r="K11" s="1">
        <v>10</v>
      </c>
      <c r="L11" s="1">
        <v>90.6</v>
      </c>
      <c r="M11" s="1">
        <v>39.783730400000003</v>
      </c>
      <c r="N11" s="1">
        <v>-100.445882</v>
      </c>
      <c r="O11" t="str">
        <f t="shared" si="0"/>
        <v>HIGH</v>
      </c>
    </row>
    <row r="12" spans="1:15">
      <c r="A12" s="1">
        <v>11</v>
      </c>
      <c r="B12" s="1" t="s">
        <v>26</v>
      </c>
      <c r="C12" s="1" t="s">
        <v>15</v>
      </c>
      <c r="D12" s="1">
        <v>9</v>
      </c>
      <c r="E12" s="1">
        <v>11</v>
      </c>
      <c r="F12" s="1">
        <v>34</v>
      </c>
      <c r="G12" s="1">
        <v>12</v>
      </c>
      <c r="H12" s="1">
        <v>37</v>
      </c>
      <c r="I12" s="1">
        <v>19</v>
      </c>
      <c r="J12" s="1">
        <v>11</v>
      </c>
      <c r="K12" s="1">
        <v>31</v>
      </c>
      <c r="L12" s="1">
        <v>90.3</v>
      </c>
      <c r="M12" s="1">
        <v>39.783730400000003</v>
      </c>
      <c r="N12" s="1">
        <v>-100.445882</v>
      </c>
      <c r="O12" t="str">
        <f t="shared" si="0"/>
        <v>HIGH</v>
      </c>
    </row>
    <row r="13" spans="1:15">
      <c r="A13" s="1">
        <v>12</v>
      </c>
      <c r="B13" s="1" t="s">
        <v>27</v>
      </c>
      <c r="C13" s="1" t="s">
        <v>28</v>
      </c>
      <c r="D13" s="1">
        <v>1</v>
      </c>
      <c r="E13" s="1">
        <v>17</v>
      </c>
      <c r="F13" s="1">
        <v>8</v>
      </c>
      <c r="G13" s="1">
        <v>33</v>
      </c>
      <c r="H13" s="1">
        <v>7</v>
      </c>
      <c r="I13" s="1">
        <v>17</v>
      </c>
      <c r="J13" s="1">
        <v>23</v>
      </c>
      <c r="K13" s="1">
        <v>29</v>
      </c>
      <c r="L13" s="1">
        <v>90</v>
      </c>
      <c r="M13" s="1">
        <v>36.5748441</v>
      </c>
      <c r="N13" s="1">
        <v>139.23941790000001</v>
      </c>
      <c r="O13" t="str">
        <f t="shared" si="0"/>
        <v>MEDIUM</v>
      </c>
    </row>
    <row r="14" spans="1:15">
      <c r="A14" s="1">
        <v>13</v>
      </c>
      <c r="B14" s="1" t="s">
        <v>29</v>
      </c>
      <c r="C14" s="1" t="s">
        <v>15</v>
      </c>
      <c r="D14" s="1">
        <v>10</v>
      </c>
      <c r="E14" s="1">
        <v>31</v>
      </c>
      <c r="F14" s="1">
        <v>9</v>
      </c>
      <c r="G14" s="1">
        <v>30</v>
      </c>
      <c r="H14" s="1">
        <v>16</v>
      </c>
      <c r="I14" s="1">
        <v>11</v>
      </c>
      <c r="J14" s="1">
        <v>17</v>
      </c>
      <c r="K14" s="1">
        <v>13</v>
      </c>
      <c r="L14" s="1">
        <v>89.7</v>
      </c>
      <c r="M14" s="1">
        <v>39.783730400000003</v>
      </c>
      <c r="N14" s="1">
        <v>-100.445882</v>
      </c>
      <c r="O14" t="str">
        <f t="shared" si="0"/>
        <v>MEDIUM</v>
      </c>
    </row>
    <row r="15" spans="1:15">
      <c r="A15" s="1">
        <v>14</v>
      </c>
      <c r="B15" s="1" t="s">
        <v>30</v>
      </c>
      <c r="C15" s="1" t="s">
        <v>15</v>
      </c>
      <c r="D15" s="1">
        <v>11</v>
      </c>
      <c r="E15" s="1">
        <v>14</v>
      </c>
      <c r="F15" s="1">
        <v>28</v>
      </c>
      <c r="G15" s="1">
        <v>19</v>
      </c>
      <c r="H15" s="1">
        <v>31</v>
      </c>
      <c r="I15" s="1">
        <v>24</v>
      </c>
      <c r="J15" s="1">
        <v>15</v>
      </c>
      <c r="K15" s="1">
        <v>40</v>
      </c>
      <c r="L15" s="1">
        <v>89.4</v>
      </c>
      <c r="M15" s="1">
        <v>39.783730400000003</v>
      </c>
      <c r="N15" s="1">
        <v>-100.445882</v>
      </c>
      <c r="O15" t="str">
        <f t="shared" si="0"/>
        <v>MEDIUM</v>
      </c>
    </row>
    <row r="16" spans="1:15">
      <c r="A16" s="1">
        <v>15</v>
      </c>
      <c r="B16" s="1" t="s">
        <v>31</v>
      </c>
      <c r="C16" s="1" t="s">
        <v>15</v>
      </c>
      <c r="D16" s="1">
        <v>12</v>
      </c>
      <c r="E16" s="1">
        <v>58</v>
      </c>
      <c r="F16" s="1">
        <v>63</v>
      </c>
      <c r="G16" s="1">
        <v>11</v>
      </c>
      <c r="H16" s="1">
        <v>13</v>
      </c>
      <c r="I16" s="1">
        <v>10</v>
      </c>
      <c r="J16" s="1">
        <v>14</v>
      </c>
      <c r="K16" s="1">
        <v>5</v>
      </c>
      <c r="L16" s="1">
        <v>89.1</v>
      </c>
      <c r="M16" s="1">
        <v>39.783730400000003</v>
      </c>
      <c r="N16" s="1">
        <v>-100.445882</v>
      </c>
      <c r="O16" t="str">
        <f t="shared" si="0"/>
        <v>MEDIUM</v>
      </c>
    </row>
    <row r="17" spans="1:15">
      <c r="A17" s="1">
        <v>16</v>
      </c>
      <c r="B17" s="1" t="s">
        <v>32</v>
      </c>
      <c r="C17" s="1" t="s">
        <v>15</v>
      </c>
      <c r="D17" s="1">
        <v>13</v>
      </c>
      <c r="E17" s="1">
        <v>24</v>
      </c>
      <c r="F17" s="1">
        <v>159</v>
      </c>
      <c r="G17" s="1">
        <v>17</v>
      </c>
      <c r="H17" s="1">
        <v>8</v>
      </c>
      <c r="I17" s="1">
        <v>6</v>
      </c>
      <c r="J17" s="1">
        <v>12</v>
      </c>
      <c r="K17" s="1">
        <v>3</v>
      </c>
      <c r="L17" s="1">
        <v>88.9</v>
      </c>
      <c r="M17" s="1">
        <v>39.783730400000003</v>
      </c>
      <c r="N17" s="1">
        <v>-100.445882</v>
      </c>
      <c r="O17" t="str">
        <f t="shared" si="0"/>
        <v>MEDIUM</v>
      </c>
    </row>
    <row r="18" spans="1:15">
      <c r="A18" s="1">
        <v>17</v>
      </c>
      <c r="B18" s="1" t="s">
        <v>33</v>
      </c>
      <c r="C18" s="1" t="s">
        <v>34</v>
      </c>
      <c r="D18" s="1">
        <v>1</v>
      </c>
      <c r="E18" s="1">
        <v>86</v>
      </c>
      <c r="F18" s="1">
        <v>157</v>
      </c>
      <c r="G18" s="1">
        <v>23</v>
      </c>
      <c r="H18" s="1">
        <v>2</v>
      </c>
      <c r="I18" s="1">
        <v>2</v>
      </c>
      <c r="J18" s="1">
        <v>16</v>
      </c>
      <c r="K18" s="1">
        <v>7</v>
      </c>
      <c r="L18" s="1">
        <v>88.7</v>
      </c>
      <c r="M18" s="1">
        <v>61.066692199999999</v>
      </c>
      <c r="N18" s="1">
        <v>-107.99170700000001</v>
      </c>
      <c r="O18" t="str">
        <f t="shared" si="0"/>
        <v>MEDIUM</v>
      </c>
    </row>
    <row r="19" spans="1:15">
      <c r="A19" s="1">
        <v>18</v>
      </c>
      <c r="B19" s="1" t="s">
        <v>35</v>
      </c>
      <c r="C19" s="1" t="s">
        <v>15</v>
      </c>
      <c r="D19" s="1">
        <v>14</v>
      </c>
      <c r="E19" s="1">
        <v>47</v>
      </c>
      <c r="F19" s="1">
        <v>38</v>
      </c>
      <c r="G19" s="1">
        <v>68</v>
      </c>
      <c r="H19" s="1">
        <v>3</v>
      </c>
      <c r="I19" s="1">
        <v>3</v>
      </c>
      <c r="J19" s="1">
        <v>20</v>
      </c>
      <c r="K19" s="1">
        <v>10</v>
      </c>
      <c r="L19" s="1">
        <v>88.4</v>
      </c>
      <c r="M19" s="1">
        <v>39.783730400000003</v>
      </c>
      <c r="N19" s="1">
        <v>-100.445882</v>
      </c>
      <c r="O19" t="str">
        <f t="shared" si="0"/>
        <v>MEDIUM</v>
      </c>
    </row>
    <row r="20" spans="1:15">
      <c r="A20" s="1">
        <v>19</v>
      </c>
      <c r="B20" s="1" t="s">
        <v>36</v>
      </c>
      <c r="C20" s="1" t="s">
        <v>15</v>
      </c>
      <c r="D20" s="1">
        <v>15</v>
      </c>
      <c r="E20" s="1">
        <v>75</v>
      </c>
      <c r="F20" s="1">
        <v>220</v>
      </c>
      <c r="G20" s="1">
        <v>26</v>
      </c>
      <c r="H20" s="1">
        <v>11</v>
      </c>
      <c r="I20" s="1">
        <v>9</v>
      </c>
      <c r="J20" s="1">
        <v>9</v>
      </c>
      <c r="K20" s="1">
        <v>9</v>
      </c>
      <c r="L20" s="1">
        <v>88.2</v>
      </c>
      <c r="M20" s="1">
        <v>39.783730400000003</v>
      </c>
      <c r="N20" s="1">
        <v>-100.445882</v>
      </c>
      <c r="O20" t="str">
        <f t="shared" si="0"/>
        <v>MEDIUM</v>
      </c>
    </row>
    <row r="21" spans="1:15">
      <c r="A21" s="1">
        <v>20</v>
      </c>
      <c r="B21" s="1" t="s">
        <v>37</v>
      </c>
      <c r="C21" s="1" t="s">
        <v>15</v>
      </c>
      <c r="D21" s="1">
        <v>16</v>
      </c>
      <c r="E21" s="1">
        <v>37</v>
      </c>
      <c r="F21" s="1">
        <v>1001</v>
      </c>
      <c r="G21" s="1">
        <v>16</v>
      </c>
      <c r="H21" s="1">
        <v>28</v>
      </c>
      <c r="I21" s="1">
        <v>16</v>
      </c>
      <c r="J21" s="1">
        <v>5</v>
      </c>
      <c r="K21" s="1">
        <v>16</v>
      </c>
      <c r="L21" s="1">
        <v>88</v>
      </c>
      <c r="M21" s="1">
        <v>39.783730400000003</v>
      </c>
      <c r="N21" s="1">
        <v>-100.445882</v>
      </c>
      <c r="O21" t="str">
        <f t="shared" si="0"/>
        <v>MEDIUM</v>
      </c>
    </row>
    <row r="22" spans="1:15">
      <c r="A22" s="1">
        <v>21</v>
      </c>
      <c r="B22" s="1" t="s">
        <v>38</v>
      </c>
      <c r="C22" s="1" t="s">
        <v>19</v>
      </c>
      <c r="D22" s="1">
        <v>3</v>
      </c>
      <c r="E22" s="1">
        <v>32</v>
      </c>
      <c r="F22" s="1">
        <v>739</v>
      </c>
      <c r="G22" s="1">
        <v>28</v>
      </c>
      <c r="H22" s="1">
        <v>5</v>
      </c>
      <c r="I22" s="1">
        <v>7</v>
      </c>
      <c r="J22" s="1">
        <v>19</v>
      </c>
      <c r="K22" s="1">
        <v>19</v>
      </c>
      <c r="L22" s="1">
        <v>87.8</v>
      </c>
      <c r="M22" s="1">
        <v>54.702354499999998</v>
      </c>
      <c r="N22" s="1">
        <v>-3.2765753000000002</v>
      </c>
      <c r="O22" t="str">
        <f t="shared" si="0"/>
        <v>MEDIUM</v>
      </c>
    </row>
    <row r="23" spans="1:15">
      <c r="A23" s="1">
        <v>22</v>
      </c>
      <c r="B23" s="1" t="s">
        <v>39</v>
      </c>
      <c r="C23" s="1" t="s">
        <v>15</v>
      </c>
      <c r="D23" s="1">
        <v>17</v>
      </c>
      <c r="E23" s="1">
        <v>667</v>
      </c>
      <c r="F23" s="1">
        <v>1001</v>
      </c>
      <c r="G23" s="1">
        <v>13</v>
      </c>
      <c r="H23" s="1">
        <v>45</v>
      </c>
      <c r="I23" s="1">
        <v>23</v>
      </c>
      <c r="J23" s="1">
        <v>8</v>
      </c>
      <c r="K23" s="1">
        <v>17</v>
      </c>
      <c r="L23" s="1">
        <v>87.7</v>
      </c>
      <c r="M23" s="1">
        <v>39.783730400000003</v>
      </c>
      <c r="N23" s="1">
        <v>-100.445882</v>
      </c>
      <c r="O23" t="str">
        <f t="shared" si="0"/>
        <v>MEDIUM</v>
      </c>
    </row>
    <row r="24" spans="1:15">
      <c r="A24" s="1">
        <v>23</v>
      </c>
      <c r="B24" s="1" t="s">
        <v>40</v>
      </c>
      <c r="C24" s="1" t="s">
        <v>15</v>
      </c>
      <c r="D24" s="1">
        <v>18</v>
      </c>
      <c r="E24" s="1">
        <v>129</v>
      </c>
      <c r="F24" s="1">
        <v>18</v>
      </c>
      <c r="G24" s="1">
        <v>44</v>
      </c>
      <c r="H24" s="1">
        <v>52</v>
      </c>
      <c r="I24" s="1">
        <v>28</v>
      </c>
      <c r="J24" s="1">
        <v>36</v>
      </c>
      <c r="K24" s="1">
        <v>34</v>
      </c>
      <c r="L24" s="1">
        <v>87.5</v>
      </c>
      <c r="M24" s="1">
        <v>39.783730400000003</v>
      </c>
      <c r="N24" s="1">
        <v>-100.445882</v>
      </c>
      <c r="O24" t="str">
        <f t="shared" si="0"/>
        <v>MEDIUM</v>
      </c>
    </row>
    <row r="25" spans="1:15">
      <c r="A25" s="1">
        <v>24</v>
      </c>
      <c r="B25" s="1" t="s">
        <v>41</v>
      </c>
      <c r="C25" s="1" t="s">
        <v>15</v>
      </c>
      <c r="D25" s="1">
        <v>19</v>
      </c>
      <c r="E25" s="1">
        <v>98</v>
      </c>
      <c r="F25" s="1">
        <v>46</v>
      </c>
      <c r="G25" s="1">
        <v>47</v>
      </c>
      <c r="H25" s="1">
        <v>36</v>
      </c>
      <c r="I25" s="1">
        <v>20</v>
      </c>
      <c r="J25" s="1">
        <v>21</v>
      </c>
      <c r="K25" s="1">
        <v>14</v>
      </c>
      <c r="L25" s="1">
        <v>87.3</v>
      </c>
      <c r="M25" s="1">
        <v>39.783730400000003</v>
      </c>
      <c r="N25" s="1">
        <v>-100.445882</v>
      </c>
      <c r="O25" t="str">
        <f t="shared" si="0"/>
        <v>MEDIUM</v>
      </c>
    </row>
    <row r="26" spans="1:15">
      <c r="A26" s="1">
        <v>25</v>
      </c>
      <c r="B26" s="1" t="s">
        <v>42</v>
      </c>
      <c r="C26" s="1" t="s">
        <v>15</v>
      </c>
      <c r="D26" s="1">
        <v>20</v>
      </c>
      <c r="E26" s="1">
        <v>64</v>
      </c>
      <c r="F26" s="1">
        <v>40</v>
      </c>
      <c r="G26" s="1">
        <v>18</v>
      </c>
      <c r="H26" s="1">
        <v>70</v>
      </c>
      <c r="I26" s="1">
        <v>50</v>
      </c>
      <c r="J26" s="1">
        <v>29</v>
      </c>
      <c r="K26" s="1">
        <v>35</v>
      </c>
      <c r="L26" s="1">
        <v>87.2</v>
      </c>
      <c r="M26" s="1">
        <v>39.783730400000003</v>
      </c>
      <c r="N26" s="1">
        <v>-100.445882</v>
      </c>
      <c r="O26" t="str">
        <f t="shared" si="0"/>
        <v>MEDIUM</v>
      </c>
    </row>
    <row r="27" spans="1:15">
      <c r="A27" s="1">
        <v>26</v>
      </c>
      <c r="B27" s="1" t="s">
        <v>43</v>
      </c>
      <c r="C27" s="1" t="s">
        <v>28</v>
      </c>
      <c r="D27" s="1">
        <v>2</v>
      </c>
      <c r="E27" s="1">
        <v>25</v>
      </c>
      <c r="F27" s="1">
        <v>29</v>
      </c>
      <c r="G27" s="1">
        <v>24</v>
      </c>
      <c r="H27" s="1">
        <v>29</v>
      </c>
      <c r="I27" s="1">
        <v>45</v>
      </c>
      <c r="J27" s="1">
        <v>48</v>
      </c>
      <c r="K27" s="1">
        <v>101</v>
      </c>
      <c r="L27" s="1">
        <v>87</v>
      </c>
      <c r="M27" s="1">
        <v>36.5748441</v>
      </c>
      <c r="N27" s="1">
        <v>139.23941790000001</v>
      </c>
      <c r="O27" t="str">
        <f t="shared" si="0"/>
        <v>MEDIUM</v>
      </c>
    </row>
    <row r="28" spans="1:15">
      <c r="A28" s="1">
        <v>27</v>
      </c>
      <c r="B28" s="1" t="s">
        <v>44</v>
      </c>
      <c r="C28" s="1" t="s">
        <v>15</v>
      </c>
      <c r="D28" s="1">
        <v>21</v>
      </c>
      <c r="E28" s="1">
        <v>65</v>
      </c>
      <c r="F28" s="1">
        <v>79</v>
      </c>
      <c r="G28" s="1">
        <v>32</v>
      </c>
      <c r="H28" s="1">
        <v>32</v>
      </c>
      <c r="I28" s="1">
        <v>26</v>
      </c>
      <c r="J28" s="1">
        <v>30</v>
      </c>
      <c r="K28" s="1">
        <v>15</v>
      </c>
      <c r="L28" s="1">
        <v>86.9</v>
      </c>
      <c r="M28" s="1">
        <v>39.783730400000003</v>
      </c>
      <c r="N28" s="1">
        <v>-100.445882</v>
      </c>
      <c r="O28" t="str">
        <f t="shared" si="0"/>
        <v>MEDIUM</v>
      </c>
    </row>
    <row r="29" spans="1:15">
      <c r="A29" s="1">
        <v>28</v>
      </c>
      <c r="B29" s="1" t="s">
        <v>45</v>
      </c>
      <c r="C29" s="1" t="s">
        <v>46</v>
      </c>
      <c r="D29" s="1">
        <v>1</v>
      </c>
      <c r="E29" s="1">
        <v>29</v>
      </c>
      <c r="F29" s="1">
        <v>98</v>
      </c>
      <c r="G29" s="1">
        <v>20</v>
      </c>
      <c r="H29" s="1">
        <v>57</v>
      </c>
      <c r="I29" s="1">
        <v>42</v>
      </c>
      <c r="J29" s="1">
        <v>27</v>
      </c>
      <c r="K29" s="1">
        <v>59</v>
      </c>
      <c r="L29" s="1">
        <v>86.7</v>
      </c>
      <c r="M29" s="1">
        <v>46.798562400000002</v>
      </c>
      <c r="N29" s="1">
        <v>8.2319735999999999</v>
      </c>
      <c r="O29" t="str">
        <f t="shared" si="0"/>
        <v>MEDIUM</v>
      </c>
    </row>
    <row r="30" spans="1:15">
      <c r="A30" s="1">
        <v>29</v>
      </c>
      <c r="B30" s="1" t="s">
        <v>47</v>
      </c>
      <c r="C30" s="1" t="s">
        <v>48</v>
      </c>
      <c r="D30" s="1">
        <v>1</v>
      </c>
      <c r="E30" s="1">
        <v>46</v>
      </c>
      <c r="F30" s="1">
        <v>344</v>
      </c>
      <c r="G30" s="1">
        <v>56</v>
      </c>
      <c r="H30" s="1">
        <v>6</v>
      </c>
      <c r="I30" s="1">
        <v>13</v>
      </c>
      <c r="J30" s="1">
        <v>24</v>
      </c>
      <c r="K30" s="1">
        <v>22</v>
      </c>
      <c r="L30" s="1">
        <v>86.6</v>
      </c>
      <c r="M30" s="1">
        <v>46.603354000000003</v>
      </c>
      <c r="N30" s="1">
        <v>1.8883335000000001</v>
      </c>
      <c r="O30" t="str">
        <f t="shared" si="0"/>
        <v>MEDIUM</v>
      </c>
    </row>
    <row r="31" spans="1:15">
      <c r="A31" s="1">
        <v>30</v>
      </c>
      <c r="B31" s="1" t="s">
        <v>49</v>
      </c>
      <c r="C31" s="1" t="s">
        <v>19</v>
      </c>
      <c r="D31" s="1">
        <v>4</v>
      </c>
      <c r="E31" s="1">
        <v>93</v>
      </c>
      <c r="F31" s="1">
        <v>103</v>
      </c>
      <c r="G31" s="1">
        <v>43</v>
      </c>
      <c r="H31" s="1">
        <v>21</v>
      </c>
      <c r="I31" s="1">
        <v>18</v>
      </c>
      <c r="J31" s="1">
        <v>25</v>
      </c>
      <c r="K31" s="1">
        <v>29</v>
      </c>
      <c r="L31" s="1">
        <v>86.5</v>
      </c>
      <c r="M31" s="1">
        <v>54.702354499999998</v>
      </c>
      <c r="N31" s="1">
        <v>-3.2765753000000002</v>
      </c>
      <c r="O31" t="str">
        <f t="shared" si="0"/>
        <v>MEDIUM</v>
      </c>
    </row>
    <row r="32" spans="1:15">
      <c r="A32" s="1">
        <v>31</v>
      </c>
      <c r="B32" s="1" t="s">
        <v>50</v>
      </c>
      <c r="C32" s="1" t="s">
        <v>15</v>
      </c>
      <c r="D32" s="1">
        <v>22</v>
      </c>
      <c r="E32" s="1">
        <v>108</v>
      </c>
      <c r="F32" s="1">
        <v>62</v>
      </c>
      <c r="G32" s="1">
        <v>29</v>
      </c>
      <c r="H32" s="1">
        <v>73</v>
      </c>
      <c r="I32" s="1">
        <v>58</v>
      </c>
      <c r="J32" s="1">
        <v>58</v>
      </c>
      <c r="K32" s="1">
        <v>24</v>
      </c>
      <c r="L32" s="1">
        <v>86.3</v>
      </c>
      <c r="M32" s="1">
        <v>39.783730400000003</v>
      </c>
      <c r="N32" s="1">
        <v>-100.445882</v>
      </c>
      <c r="O32" t="str">
        <f t="shared" si="0"/>
        <v>MEDIUM</v>
      </c>
    </row>
    <row r="33" spans="1:15">
      <c r="A33" s="1">
        <v>32</v>
      </c>
      <c r="B33" s="1" t="s">
        <v>51</v>
      </c>
      <c r="C33" s="1" t="s">
        <v>15</v>
      </c>
      <c r="D33" s="1">
        <v>23</v>
      </c>
      <c r="E33" s="1">
        <v>40</v>
      </c>
      <c r="F33" s="1">
        <v>150</v>
      </c>
      <c r="G33" s="1">
        <v>27</v>
      </c>
      <c r="H33" s="1">
        <v>65</v>
      </c>
      <c r="I33" s="1">
        <v>55</v>
      </c>
      <c r="J33" s="1">
        <v>61</v>
      </c>
      <c r="K33" s="1">
        <v>50</v>
      </c>
      <c r="L33" s="1">
        <v>86.2</v>
      </c>
      <c r="M33" s="1">
        <v>39.783730400000003</v>
      </c>
      <c r="N33" s="1">
        <v>-100.445882</v>
      </c>
      <c r="O33" t="str">
        <f t="shared" si="0"/>
        <v>MEDIUM</v>
      </c>
    </row>
    <row r="34" spans="1:15">
      <c r="A34" s="1">
        <v>33</v>
      </c>
      <c r="B34" s="1" t="s">
        <v>52</v>
      </c>
      <c r="C34" s="1" t="s">
        <v>15</v>
      </c>
      <c r="D34" s="1">
        <v>24</v>
      </c>
      <c r="E34" s="1">
        <v>205</v>
      </c>
      <c r="F34" s="1">
        <v>120</v>
      </c>
      <c r="G34" s="1">
        <v>72</v>
      </c>
      <c r="H34" s="1">
        <v>50</v>
      </c>
      <c r="I34" s="1">
        <v>30</v>
      </c>
      <c r="J34" s="1">
        <v>33</v>
      </c>
      <c r="K34" s="1">
        <v>21</v>
      </c>
      <c r="L34" s="1">
        <v>86.1</v>
      </c>
      <c r="M34" s="1">
        <v>39.783730400000003</v>
      </c>
      <c r="N34" s="1">
        <v>-100.445882</v>
      </c>
      <c r="O34" t="str">
        <f t="shared" si="0"/>
        <v>MEDIUM</v>
      </c>
    </row>
    <row r="35" spans="1:15">
      <c r="A35" s="1">
        <v>34</v>
      </c>
      <c r="B35" s="1" t="s">
        <v>53</v>
      </c>
      <c r="C35" s="1" t="s">
        <v>19</v>
      </c>
      <c r="D35" s="1">
        <v>5</v>
      </c>
      <c r="E35" s="1">
        <v>61</v>
      </c>
      <c r="F35" s="1">
        <v>325</v>
      </c>
      <c r="G35" s="1">
        <v>36</v>
      </c>
      <c r="H35" s="1">
        <v>72</v>
      </c>
      <c r="I35" s="1">
        <v>56</v>
      </c>
      <c r="J35" s="1">
        <v>31</v>
      </c>
      <c r="K35" s="1">
        <v>48</v>
      </c>
      <c r="L35" s="1">
        <v>86</v>
      </c>
      <c r="M35" s="1">
        <v>54.702354499999998</v>
      </c>
      <c r="N35" s="1">
        <v>-3.2765753000000002</v>
      </c>
      <c r="O35" t="str">
        <f t="shared" si="0"/>
        <v>MEDIUM</v>
      </c>
    </row>
    <row r="36" spans="1:15">
      <c r="A36" s="1">
        <v>35</v>
      </c>
      <c r="B36" s="1" t="s">
        <v>54</v>
      </c>
      <c r="C36" s="1" t="s">
        <v>15</v>
      </c>
      <c r="D36" s="1">
        <v>25</v>
      </c>
      <c r="E36" s="1">
        <v>131</v>
      </c>
      <c r="F36" s="1">
        <v>302</v>
      </c>
      <c r="G36" s="1">
        <v>76</v>
      </c>
      <c r="H36" s="1">
        <v>24</v>
      </c>
      <c r="I36" s="1">
        <v>21</v>
      </c>
      <c r="J36" s="1">
        <v>35</v>
      </c>
      <c r="K36" s="1">
        <v>28</v>
      </c>
      <c r="L36" s="1">
        <v>85.9</v>
      </c>
      <c r="M36" s="1">
        <v>39.783730400000003</v>
      </c>
      <c r="N36" s="1">
        <v>-100.445882</v>
      </c>
      <c r="O36" t="str">
        <f t="shared" si="0"/>
        <v>MEDIUM</v>
      </c>
    </row>
    <row r="37" spans="1:15">
      <c r="A37" s="1">
        <v>36</v>
      </c>
      <c r="B37" s="1" t="s">
        <v>55</v>
      </c>
      <c r="C37" s="1" t="s">
        <v>15</v>
      </c>
      <c r="D37" s="1">
        <v>26</v>
      </c>
      <c r="E37" s="1">
        <v>206</v>
      </c>
      <c r="F37" s="1">
        <v>161</v>
      </c>
      <c r="G37" s="1">
        <v>64</v>
      </c>
      <c r="H37" s="1">
        <v>81</v>
      </c>
      <c r="I37" s="1">
        <v>46</v>
      </c>
      <c r="J37" s="1">
        <v>22</v>
      </c>
      <c r="K37" s="1">
        <v>22</v>
      </c>
      <c r="L37" s="1">
        <v>85.8</v>
      </c>
      <c r="M37" s="1">
        <v>39.783730400000003</v>
      </c>
      <c r="N37" s="1">
        <v>-100.445882</v>
      </c>
      <c r="O37" t="str">
        <f t="shared" si="0"/>
        <v>MEDIUM</v>
      </c>
    </row>
    <row r="38" spans="1:15">
      <c r="A38" s="1">
        <v>37</v>
      </c>
      <c r="B38" s="1" t="s">
        <v>56</v>
      </c>
      <c r="C38" s="1" t="s">
        <v>34</v>
      </c>
      <c r="D38" s="1">
        <v>2</v>
      </c>
      <c r="E38" s="1">
        <v>68</v>
      </c>
      <c r="F38" s="1">
        <v>86</v>
      </c>
      <c r="G38" s="1">
        <v>65</v>
      </c>
      <c r="H38" s="1">
        <v>44</v>
      </c>
      <c r="I38" s="1">
        <v>36</v>
      </c>
      <c r="J38" s="1">
        <v>53</v>
      </c>
      <c r="K38" s="1">
        <v>39</v>
      </c>
      <c r="L38" s="1">
        <v>85.6</v>
      </c>
      <c r="M38" s="1">
        <v>61.066692199999999</v>
      </c>
      <c r="N38" s="1">
        <v>-107.99170700000001</v>
      </c>
      <c r="O38" t="str">
        <f t="shared" si="0"/>
        <v>MEDIUM</v>
      </c>
    </row>
    <row r="39" spans="1:15">
      <c r="A39" s="1">
        <v>38</v>
      </c>
      <c r="B39" s="1" t="s">
        <v>57</v>
      </c>
      <c r="C39" s="1" t="s">
        <v>34</v>
      </c>
      <c r="D39" s="1">
        <v>3</v>
      </c>
      <c r="E39" s="1">
        <v>173</v>
      </c>
      <c r="F39" s="1">
        <v>699</v>
      </c>
      <c r="G39" s="1">
        <v>78</v>
      </c>
      <c r="H39" s="1">
        <v>25</v>
      </c>
      <c r="I39" s="1">
        <v>27</v>
      </c>
      <c r="J39" s="1">
        <v>37</v>
      </c>
      <c r="K39" s="1">
        <v>24</v>
      </c>
      <c r="L39" s="1">
        <v>85.5</v>
      </c>
      <c r="M39" s="1">
        <v>61.066692199999999</v>
      </c>
      <c r="N39" s="1">
        <v>-107.99170700000001</v>
      </c>
      <c r="O39" t="str">
        <f t="shared" si="0"/>
        <v>MEDIUM</v>
      </c>
    </row>
    <row r="40" spans="1:15">
      <c r="A40" s="1">
        <v>39</v>
      </c>
      <c r="B40" s="1" t="s">
        <v>58</v>
      </c>
      <c r="C40" s="1" t="s">
        <v>59</v>
      </c>
      <c r="D40" s="1">
        <v>1</v>
      </c>
      <c r="E40" s="1">
        <v>302</v>
      </c>
      <c r="F40" s="1">
        <v>364</v>
      </c>
      <c r="G40" s="1">
        <v>79</v>
      </c>
      <c r="H40" s="1">
        <v>26</v>
      </c>
      <c r="I40" s="1">
        <v>29</v>
      </c>
      <c r="J40" s="1">
        <v>26</v>
      </c>
      <c r="K40" s="1">
        <v>38</v>
      </c>
      <c r="L40" s="1">
        <v>85.4</v>
      </c>
      <c r="M40" s="1">
        <v>55.670248999999998</v>
      </c>
      <c r="N40" s="1">
        <v>10.3333283</v>
      </c>
      <c r="O40" t="str">
        <f t="shared" si="0"/>
        <v>MEDIUM</v>
      </c>
    </row>
    <row r="41" spans="1:15">
      <c r="A41" s="1">
        <v>40</v>
      </c>
      <c r="B41" s="1" t="s">
        <v>60</v>
      </c>
      <c r="C41" s="1" t="s">
        <v>15</v>
      </c>
      <c r="D41" s="1">
        <v>27</v>
      </c>
      <c r="E41" s="1">
        <v>165</v>
      </c>
      <c r="F41" s="1">
        <v>254</v>
      </c>
      <c r="G41" s="1">
        <v>70</v>
      </c>
      <c r="H41" s="1">
        <v>33</v>
      </c>
      <c r="I41" s="1">
        <v>31</v>
      </c>
      <c r="J41" s="1">
        <v>50</v>
      </c>
      <c r="K41" s="1">
        <v>35</v>
      </c>
      <c r="L41" s="1">
        <v>85.3</v>
      </c>
      <c r="M41" s="1">
        <v>39.783730400000003</v>
      </c>
      <c r="N41" s="1">
        <v>-100.445882</v>
      </c>
      <c r="O41" t="str">
        <f t="shared" si="0"/>
        <v>MEDIUM</v>
      </c>
    </row>
    <row r="42" spans="1:15">
      <c r="A42" s="1">
        <v>41</v>
      </c>
      <c r="B42" s="1" t="s">
        <v>61</v>
      </c>
      <c r="C42" s="1" t="s">
        <v>15</v>
      </c>
      <c r="D42" s="1">
        <v>28</v>
      </c>
      <c r="E42" s="1">
        <v>212</v>
      </c>
      <c r="F42" s="1">
        <v>101</v>
      </c>
      <c r="G42" s="1">
        <v>35</v>
      </c>
      <c r="H42" s="1">
        <v>74</v>
      </c>
      <c r="I42" s="1">
        <v>67</v>
      </c>
      <c r="J42" s="1">
        <v>62</v>
      </c>
      <c r="K42" s="1">
        <v>59</v>
      </c>
      <c r="L42" s="1">
        <v>85.2</v>
      </c>
      <c r="M42" s="1">
        <v>39.783730400000003</v>
      </c>
      <c r="N42" s="1">
        <v>-100.445882</v>
      </c>
      <c r="O42" t="str">
        <f t="shared" si="0"/>
        <v>MEDIUM</v>
      </c>
    </row>
    <row r="43" spans="1:15">
      <c r="A43" s="1">
        <v>42</v>
      </c>
      <c r="B43" s="1" t="s">
        <v>62</v>
      </c>
      <c r="C43" s="1" t="s">
        <v>15</v>
      </c>
      <c r="D43" s="1">
        <v>29</v>
      </c>
      <c r="E43" s="1">
        <v>83</v>
      </c>
      <c r="F43" s="1">
        <v>579</v>
      </c>
      <c r="G43" s="1">
        <v>75</v>
      </c>
      <c r="H43" s="1">
        <v>42</v>
      </c>
      <c r="I43" s="1">
        <v>35</v>
      </c>
      <c r="J43" s="1">
        <v>39</v>
      </c>
      <c r="K43" s="1">
        <v>31</v>
      </c>
      <c r="L43" s="1">
        <v>85.1</v>
      </c>
      <c r="M43" s="1">
        <v>39.783730400000003</v>
      </c>
      <c r="N43" s="1">
        <v>-100.445882</v>
      </c>
      <c r="O43" t="str">
        <f t="shared" si="0"/>
        <v>MEDIUM</v>
      </c>
    </row>
    <row r="44" spans="1:15">
      <c r="A44" s="1">
        <v>43</v>
      </c>
      <c r="B44" s="1" t="s">
        <v>63</v>
      </c>
      <c r="C44" s="1" t="s">
        <v>15</v>
      </c>
      <c r="D44" s="1">
        <v>30</v>
      </c>
      <c r="E44" s="1">
        <v>374</v>
      </c>
      <c r="F44" s="1">
        <v>168</v>
      </c>
      <c r="G44" s="1">
        <v>60</v>
      </c>
      <c r="H44" s="1">
        <v>43</v>
      </c>
      <c r="I44" s="1">
        <v>40</v>
      </c>
      <c r="J44" s="1">
        <v>41</v>
      </c>
      <c r="K44" s="1">
        <v>51</v>
      </c>
      <c r="L44" s="1">
        <v>85</v>
      </c>
      <c r="M44" s="1">
        <v>39.783730400000003</v>
      </c>
      <c r="N44" s="1">
        <v>-100.445882</v>
      </c>
      <c r="O44" t="str">
        <f t="shared" si="0"/>
        <v>MEDIUM</v>
      </c>
    </row>
    <row r="45" spans="1:15">
      <c r="A45" s="1">
        <v>44</v>
      </c>
      <c r="B45" s="1" t="s">
        <v>64</v>
      </c>
      <c r="C45" s="1" t="s">
        <v>19</v>
      </c>
      <c r="D45" s="1">
        <v>6</v>
      </c>
      <c r="E45" s="1">
        <v>171</v>
      </c>
      <c r="F45" s="1">
        <v>227</v>
      </c>
      <c r="G45" s="1">
        <v>63</v>
      </c>
      <c r="H45" s="1">
        <v>49</v>
      </c>
      <c r="I45" s="1">
        <v>48</v>
      </c>
      <c r="J45" s="1">
        <v>65</v>
      </c>
      <c r="K45" s="1">
        <v>35</v>
      </c>
      <c r="L45" s="1">
        <v>85</v>
      </c>
      <c r="M45" s="1">
        <v>54.702354499999998</v>
      </c>
      <c r="N45" s="1">
        <v>-3.2765753000000002</v>
      </c>
      <c r="O45" t="str">
        <f t="shared" si="0"/>
        <v>MEDIUM</v>
      </c>
    </row>
    <row r="46" spans="1:15">
      <c r="A46" s="1">
        <v>45</v>
      </c>
      <c r="B46" s="1" t="s">
        <v>65</v>
      </c>
      <c r="C46" s="1" t="s">
        <v>66</v>
      </c>
      <c r="D46" s="1">
        <v>1</v>
      </c>
      <c r="E46" s="1">
        <v>8</v>
      </c>
      <c r="F46" s="1">
        <v>1001</v>
      </c>
      <c r="G46" s="1">
        <v>22</v>
      </c>
      <c r="H46" s="1">
        <v>445</v>
      </c>
      <c r="I46" s="1">
        <v>292</v>
      </c>
      <c r="J46" s="1">
        <v>69</v>
      </c>
      <c r="K46" s="1">
        <v>254</v>
      </c>
      <c r="L46" s="1">
        <v>84.9</v>
      </c>
      <c r="M46" s="1">
        <v>39.3181528</v>
      </c>
      <c r="N46" s="1">
        <v>-79.810901400000006</v>
      </c>
      <c r="O46" t="str">
        <f t="shared" si="0"/>
        <v>MEDIUM</v>
      </c>
    </row>
    <row r="47" spans="1:15">
      <c r="A47" s="1">
        <v>46</v>
      </c>
      <c r="B47" s="1" t="s">
        <v>67</v>
      </c>
      <c r="C47" s="1" t="s">
        <v>68</v>
      </c>
      <c r="D47" s="1">
        <v>1</v>
      </c>
      <c r="E47" s="1">
        <v>71</v>
      </c>
      <c r="F47" s="1">
        <v>807</v>
      </c>
      <c r="G47" s="1">
        <v>51</v>
      </c>
      <c r="H47" s="1">
        <v>63</v>
      </c>
      <c r="I47" s="1">
        <v>64</v>
      </c>
      <c r="J47" s="1">
        <v>51</v>
      </c>
      <c r="K47" s="1">
        <v>53</v>
      </c>
      <c r="L47" s="1">
        <v>84.8</v>
      </c>
      <c r="M47" s="1">
        <v>40.420347900000003</v>
      </c>
      <c r="N47" s="1">
        <v>-79.116698299999996</v>
      </c>
      <c r="O47" t="str">
        <f t="shared" si="0"/>
        <v>MEDIUM</v>
      </c>
    </row>
    <row r="48" spans="1:15">
      <c r="A48" s="1">
        <v>47</v>
      </c>
      <c r="B48" s="1" t="s">
        <v>69</v>
      </c>
      <c r="C48" s="1" t="s">
        <v>15</v>
      </c>
      <c r="D48" s="1">
        <v>31</v>
      </c>
      <c r="E48" s="1">
        <v>103</v>
      </c>
      <c r="F48" s="1">
        <v>480</v>
      </c>
      <c r="G48" s="1">
        <v>55</v>
      </c>
      <c r="H48" s="1">
        <v>92</v>
      </c>
      <c r="I48" s="1">
        <v>72</v>
      </c>
      <c r="J48" s="1">
        <v>45</v>
      </c>
      <c r="K48" s="1">
        <v>42</v>
      </c>
      <c r="L48" s="1">
        <v>84.7</v>
      </c>
      <c r="M48" s="1">
        <v>39.783730400000003</v>
      </c>
      <c r="N48" s="1">
        <v>-100.445882</v>
      </c>
      <c r="O48" t="str">
        <f t="shared" si="0"/>
        <v>MEDIUM</v>
      </c>
    </row>
    <row r="49" spans="1:15">
      <c r="A49" s="1">
        <v>48</v>
      </c>
      <c r="B49" s="1" t="s">
        <v>70</v>
      </c>
      <c r="C49" s="1" t="s">
        <v>68</v>
      </c>
      <c r="D49" s="1">
        <v>2</v>
      </c>
      <c r="E49" s="1">
        <v>91</v>
      </c>
      <c r="F49" s="1">
        <v>266</v>
      </c>
      <c r="G49" s="1">
        <v>83</v>
      </c>
      <c r="H49" s="1">
        <v>53</v>
      </c>
      <c r="I49" s="1">
        <v>57</v>
      </c>
      <c r="J49" s="1">
        <v>42</v>
      </c>
      <c r="K49" s="1">
        <v>46</v>
      </c>
      <c r="L49" s="1">
        <v>84.6</v>
      </c>
      <c r="M49" s="1">
        <v>40.420347900000003</v>
      </c>
      <c r="N49" s="1">
        <v>-79.116698299999996</v>
      </c>
      <c r="O49" t="str">
        <f t="shared" si="0"/>
        <v>MEDIUM</v>
      </c>
    </row>
    <row r="50" spans="1:15">
      <c r="A50" s="1">
        <v>49</v>
      </c>
      <c r="B50" s="1" t="s">
        <v>71</v>
      </c>
      <c r="C50" s="1" t="s">
        <v>72</v>
      </c>
      <c r="D50" s="1">
        <v>1</v>
      </c>
      <c r="E50" s="1">
        <v>162</v>
      </c>
      <c r="F50" s="1">
        <v>1001</v>
      </c>
      <c r="G50" s="1">
        <v>46</v>
      </c>
      <c r="H50" s="1">
        <v>67</v>
      </c>
      <c r="I50" s="1">
        <v>53</v>
      </c>
      <c r="J50" s="1">
        <v>46</v>
      </c>
      <c r="K50" s="1">
        <v>108</v>
      </c>
      <c r="L50" s="1">
        <v>84.5</v>
      </c>
      <c r="M50" s="1">
        <v>44.133434999999999</v>
      </c>
      <c r="N50" s="1">
        <v>-70.822677999999996</v>
      </c>
      <c r="O50" t="str">
        <f t="shared" si="0"/>
        <v>MEDIUM</v>
      </c>
    </row>
    <row r="51" spans="1:15">
      <c r="A51" s="1">
        <v>50</v>
      </c>
      <c r="B51" s="1" t="s">
        <v>73</v>
      </c>
      <c r="C51" s="1" t="s">
        <v>15</v>
      </c>
      <c r="D51" s="1">
        <v>32</v>
      </c>
      <c r="E51" s="1">
        <v>134</v>
      </c>
      <c r="F51" s="1">
        <v>170</v>
      </c>
      <c r="G51" s="1">
        <v>41</v>
      </c>
      <c r="H51" s="1">
        <v>145</v>
      </c>
      <c r="I51" s="1">
        <v>111</v>
      </c>
      <c r="J51" s="1">
        <v>40</v>
      </c>
      <c r="K51" s="1">
        <v>59</v>
      </c>
      <c r="L51" s="1">
        <v>84.4</v>
      </c>
      <c r="M51" s="1">
        <v>39.783730400000003</v>
      </c>
      <c r="N51" s="1">
        <v>-100.445882</v>
      </c>
      <c r="O51" t="str">
        <f t="shared" si="0"/>
        <v>MEDIUM</v>
      </c>
    </row>
    <row r="52" spans="1:15">
      <c r="A52" s="1">
        <v>51</v>
      </c>
      <c r="B52" s="1" t="s">
        <v>74</v>
      </c>
      <c r="C52" s="1" t="s">
        <v>15</v>
      </c>
      <c r="D52" s="1">
        <v>33</v>
      </c>
      <c r="E52" s="1">
        <v>215</v>
      </c>
      <c r="F52" s="1">
        <v>111</v>
      </c>
      <c r="G52" s="1">
        <v>40</v>
      </c>
      <c r="H52" s="1">
        <v>121</v>
      </c>
      <c r="I52" s="1">
        <v>88</v>
      </c>
      <c r="J52" s="1">
        <v>74</v>
      </c>
      <c r="K52" s="1">
        <v>66</v>
      </c>
      <c r="L52" s="1">
        <v>84.4</v>
      </c>
      <c r="M52" s="1">
        <v>39.783730400000003</v>
      </c>
      <c r="N52" s="1">
        <v>-100.445882</v>
      </c>
      <c r="O52" t="str">
        <f t="shared" si="0"/>
        <v>MEDIUM</v>
      </c>
    </row>
    <row r="53" spans="1:15">
      <c r="A53" s="1">
        <v>52</v>
      </c>
      <c r="B53" s="1" t="s">
        <v>75</v>
      </c>
      <c r="C53" s="1" t="s">
        <v>15</v>
      </c>
      <c r="D53" s="1">
        <v>34</v>
      </c>
      <c r="E53" s="1">
        <v>166</v>
      </c>
      <c r="F53" s="1">
        <v>164</v>
      </c>
      <c r="G53" s="1">
        <v>53</v>
      </c>
      <c r="H53" s="1">
        <v>111</v>
      </c>
      <c r="I53" s="1">
        <v>96</v>
      </c>
      <c r="J53" s="1">
        <v>43</v>
      </c>
      <c r="K53" s="1">
        <v>48</v>
      </c>
      <c r="L53" s="1">
        <v>84.3</v>
      </c>
      <c r="M53" s="1">
        <v>39.783730400000003</v>
      </c>
      <c r="N53" s="1">
        <v>-100.445882</v>
      </c>
      <c r="O53" t="str">
        <f t="shared" si="0"/>
        <v>MEDIUM</v>
      </c>
    </row>
    <row r="54" spans="1:15">
      <c r="A54" s="1">
        <v>53</v>
      </c>
      <c r="B54" s="1" t="s">
        <v>76</v>
      </c>
      <c r="C54" s="1" t="s">
        <v>28</v>
      </c>
      <c r="D54" s="1">
        <v>3</v>
      </c>
      <c r="E54" s="1">
        <v>70</v>
      </c>
      <c r="F54" s="1">
        <v>65</v>
      </c>
      <c r="G54" s="1">
        <v>61</v>
      </c>
      <c r="H54" s="1">
        <v>59</v>
      </c>
      <c r="I54" s="1">
        <v>82</v>
      </c>
      <c r="J54" s="1">
        <v>83</v>
      </c>
      <c r="K54" s="1">
        <v>174</v>
      </c>
      <c r="L54" s="1">
        <v>84.2</v>
      </c>
      <c r="M54" s="1">
        <v>36.5748441</v>
      </c>
      <c r="N54" s="1">
        <v>139.23941790000001</v>
      </c>
      <c r="O54" t="str">
        <f t="shared" si="0"/>
        <v>MEDIUM</v>
      </c>
    </row>
    <row r="55" spans="1:15">
      <c r="A55" s="1">
        <v>54</v>
      </c>
      <c r="B55" s="1" t="s">
        <v>77</v>
      </c>
      <c r="C55" s="1" t="s">
        <v>48</v>
      </c>
      <c r="D55" s="1">
        <v>2</v>
      </c>
      <c r="E55" s="1">
        <v>49</v>
      </c>
      <c r="F55" s="1">
        <v>815</v>
      </c>
      <c r="G55" s="1">
        <v>38</v>
      </c>
      <c r="H55" s="1">
        <v>103</v>
      </c>
      <c r="I55" s="1">
        <v>86</v>
      </c>
      <c r="J55" s="1">
        <v>98</v>
      </c>
      <c r="K55" s="1">
        <v>76</v>
      </c>
      <c r="L55" s="1">
        <v>84.1</v>
      </c>
      <c r="M55" s="1">
        <v>46.603354000000003</v>
      </c>
      <c r="N55" s="1">
        <v>1.8883335000000001</v>
      </c>
      <c r="O55" t="str">
        <f t="shared" si="0"/>
        <v>MEDIUM</v>
      </c>
    </row>
    <row r="56" spans="1:15">
      <c r="A56" s="1">
        <v>55</v>
      </c>
      <c r="B56" s="1" t="s">
        <v>78</v>
      </c>
      <c r="C56" s="1" t="s">
        <v>46</v>
      </c>
      <c r="D56" s="1">
        <v>2</v>
      </c>
      <c r="E56" s="1">
        <v>35</v>
      </c>
      <c r="F56" s="1">
        <v>381</v>
      </c>
      <c r="G56" s="1">
        <v>31</v>
      </c>
      <c r="H56" s="1">
        <v>147</v>
      </c>
      <c r="I56" s="1">
        <v>130</v>
      </c>
      <c r="J56" s="1">
        <v>87</v>
      </c>
      <c r="K56" s="1">
        <v>72</v>
      </c>
      <c r="L56" s="1">
        <v>84</v>
      </c>
      <c r="M56" s="1">
        <v>46.798562400000002</v>
      </c>
      <c r="N56" s="1">
        <v>8.2319735999999999</v>
      </c>
      <c r="O56" t="str">
        <f t="shared" si="0"/>
        <v>MEDIUM</v>
      </c>
    </row>
    <row r="57" spans="1:15">
      <c r="A57" s="1">
        <v>56</v>
      </c>
      <c r="B57" s="1" t="s">
        <v>79</v>
      </c>
      <c r="C57" s="1" t="s">
        <v>15</v>
      </c>
      <c r="D57" s="1">
        <v>35</v>
      </c>
      <c r="E57" s="1">
        <v>572</v>
      </c>
      <c r="F57" s="1">
        <v>112</v>
      </c>
      <c r="G57" s="1">
        <v>106</v>
      </c>
      <c r="H57" s="1">
        <v>113</v>
      </c>
      <c r="I57" s="1">
        <v>75</v>
      </c>
      <c r="J57" s="1">
        <v>52</v>
      </c>
      <c r="K57" s="1">
        <v>26</v>
      </c>
      <c r="L57" s="1">
        <v>84</v>
      </c>
      <c r="M57" s="1">
        <v>39.783730400000003</v>
      </c>
      <c r="N57" s="1">
        <v>-100.445882</v>
      </c>
      <c r="O57" t="str">
        <f t="shared" si="0"/>
        <v>MEDIUM</v>
      </c>
    </row>
    <row r="58" spans="1:15">
      <c r="A58" s="1">
        <v>57</v>
      </c>
      <c r="B58" s="1" t="s">
        <v>80</v>
      </c>
      <c r="C58" s="1" t="s">
        <v>81</v>
      </c>
      <c r="D58" s="1">
        <v>1</v>
      </c>
      <c r="E58" s="1">
        <v>232</v>
      </c>
      <c r="F58" s="1">
        <v>408</v>
      </c>
      <c r="G58" s="1">
        <v>180</v>
      </c>
      <c r="H58" s="1">
        <v>35</v>
      </c>
      <c r="I58" s="1">
        <v>34</v>
      </c>
      <c r="J58" s="1">
        <v>54</v>
      </c>
      <c r="K58" s="1">
        <v>40</v>
      </c>
      <c r="L58" s="1">
        <v>83.9</v>
      </c>
      <c r="M58" s="1">
        <v>-24.776108600000001</v>
      </c>
      <c r="N58" s="1">
        <v>134.755</v>
      </c>
      <c r="O58" t="str">
        <f t="shared" si="0"/>
        <v>MEDIUM</v>
      </c>
    </row>
    <row r="59" spans="1:15">
      <c r="A59" s="1">
        <v>58</v>
      </c>
      <c r="B59" s="1" t="s">
        <v>82</v>
      </c>
      <c r="C59" s="1" t="s">
        <v>15</v>
      </c>
      <c r="D59" s="1">
        <v>36</v>
      </c>
      <c r="E59" s="1">
        <v>95</v>
      </c>
      <c r="F59" s="1">
        <v>50</v>
      </c>
      <c r="G59" s="1">
        <v>50</v>
      </c>
      <c r="H59" s="1">
        <v>186</v>
      </c>
      <c r="I59" s="1">
        <v>125</v>
      </c>
      <c r="J59" s="1">
        <v>85</v>
      </c>
      <c r="K59" s="1">
        <v>80</v>
      </c>
      <c r="L59" s="1">
        <v>83.8</v>
      </c>
      <c r="M59" s="1">
        <v>39.783730400000003</v>
      </c>
      <c r="N59" s="1">
        <v>-100.445882</v>
      </c>
      <c r="O59" t="str">
        <f t="shared" si="0"/>
        <v>MEDIUM</v>
      </c>
    </row>
    <row r="60" spans="1:15">
      <c r="A60" s="1">
        <v>59</v>
      </c>
      <c r="B60" s="1" t="s">
        <v>83</v>
      </c>
      <c r="C60" s="1" t="s">
        <v>15</v>
      </c>
      <c r="D60" s="1">
        <v>37</v>
      </c>
      <c r="E60" s="1">
        <v>264</v>
      </c>
      <c r="F60" s="1">
        <v>1001</v>
      </c>
      <c r="G60" s="1">
        <v>42</v>
      </c>
      <c r="H60" s="1">
        <v>133</v>
      </c>
      <c r="I60" s="1">
        <v>97</v>
      </c>
      <c r="J60" s="1">
        <v>64</v>
      </c>
      <c r="K60" s="1">
        <v>57</v>
      </c>
      <c r="L60" s="1">
        <v>83.8</v>
      </c>
      <c r="M60" s="1">
        <v>39.783730400000003</v>
      </c>
      <c r="N60" s="1">
        <v>-100.445882</v>
      </c>
      <c r="O60" t="str">
        <f t="shared" si="0"/>
        <v>MEDIUM</v>
      </c>
    </row>
    <row r="61" spans="1:15">
      <c r="A61" s="1">
        <v>60</v>
      </c>
      <c r="B61" s="1" t="s">
        <v>84</v>
      </c>
      <c r="C61" s="1" t="s">
        <v>85</v>
      </c>
      <c r="D61" s="1">
        <v>1</v>
      </c>
      <c r="E61" s="1">
        <v>667</v>
      </c>
      <c r="F61" s="1">
        <v>20</v>
      </c>
      <c r="G61" s="1">
        <v>304</v>
      </c>
      <c r="H61" s="1">
        <v>19</v>
      </c>
      <c r="I61" s="1">
        <v>39</v>
      </c>
      <c r="J61" s="1">
        <v>146</v>
      </c>
      <c r="K61" s="1">
        <v>129</v>
      </c>
      <c r="L61" s="1">
        <v>83.7</v>
      </c>
      <c r="M61" s="1">
        <v>36.638392000000003</v>
      </c>
      <c r="N61" s="1">
        <v>127.69611879999999</v>
      </c>
      <c r="O61" t="str">
        <f t="shared" si="0"/>
        <v>MEDIUM</v>
      </c>
    </row>
    <row r="62" spans="1:15">
      <c r="A62" s="1">
        <v>61</v>
      </c>
      <c r="B62" s="1" t="s">
        <v>86</v>
      </c>
      <c r="C62" s="1" t="s">
        <v>66</v>
      </c>
      <c r="D62" s="1">
        <v>2</v>
      </c>
      <c r="E62" s="1">
        <v>19</v>
      </c>
      <c r="F62" s="1">
        <v>400</v>
      </c>
      <c r="G62" s="1">
        <v>15</v>
      </c>
      <c r="H62" s="1">
        <v>177</v>
      </c>
      <c r="I62" s="1">
        <v>143</v>
      </c>
      <c r="J62" s="1">
        <v>122</v>
      </c>
      <c r="K62" s="1">
        <v>405</v>
      </c>
      <c r="L62" s="1">
        <v>83.6</v>
      </c>
      <c r="M62" s="1">
        <v>39.3181528</v>
      </c>
      <c r="N62" s="1">
        <v>-79.810901400000006</v>
      </c>
      <c r="O62" t="str">
        <f t="shared" si="0"/>
        <v>MEDIUM</v>
      </c>
    </row>
    <row r="63" spans="1:15">
      <c r="A63" s="1">
        <v>62</v>
      </c>
      <c r="B63" s="1" t="s">
        <v>87</v>
      </c>
      <c r="C63" s="1" t="s">
        <v>15</v>
      </c>
      <c r="D63" s="1">
        <v>38</v>
      </c>
      <c r="E63" s="1">
        <v>472</v>
      </c>
      <c r="F63" s="1">
        <v>485</v>
      </c>
      <c r="G63" s="1">
        <v>113</v>
      </c>
      <c r="H63" s="1">
        <v>40</v>
      </c>
      <c r="I63" s="1">
        <v>44</v>
      </c>
      <c r="J63" s="1">
        <v>90</v>
      </c>
      <c r="K63" s="1">
        <v>43</v>
      </c>
      <c r="L63" s="1">
        <v>83.6</v>
      </c>
      <c r="M63" s="1">
        <v>39.783730400000003</v>
      </c>
      <c r="N63" s="1">
        <v>-100.445882</v>
      </c>
      <c r="O63" t="str">
        <f t="shared" si="0"/>
        <v>MEDIUM</v>
      </c>
    </row>
    <row r="64" spans="1:15">
      <c r="A64" s="1">
        <v>63</v>
      </c>
      <c r="B64" s="1" t="s">
        <v>88</v>
      </c>
      <c r="C64" s="1" t="s">
        <v>15</v>
      </c>
      <c r="D64" s="1">
        <v>39</v>
      </c>
      <c r="E64" s="1">
        <v>96</v>
      </c>
      <c r="F64" s="1">
        <v>83</v>
      </c>
      <c r="G64" s="1">
        <v>58</v>
      </c>
      <c r="H64" s="1">
        <v>94</v>
      </c>
      <c r="I64" s="1">
        <v>93</v>
      </c>
      <c r="J64" s="1">
        <v>106</v>
      </c>
      <c r="K64" s="1">
        <v>129</v>
      </c>
      <c r="L64" s="1">
        <v>83.5</v>
      </c>
      <c r="M64" s="1">
        <v>39.783730400000003</v>
      </c>
      <c r="N64" s="1">
        <v>-100.445882</v>
      </c>
      <c r="O64" t="str">
        <f t="shared" si="0"/>
        <v>MEDIUM</v>
      </c>
    </row>
    <row r="65" spans="1:15">
      <c r="A65" s="1">
        <v>64</v>
      </c>
      <c r="B65" s="1" t="s">
        <v>89</v>
      </c>
      <c r="C65" s="1" t="s">
        <v>15</v>
      </c>
      <c r="D65" s="1">
        <v>40</v>
      </c>
      <c r="E65" s="1">
        <v>148</v>
      </c>
      <c r="F65" s="1">
        <v>91</v>
      </c>
      <c r="G65" s="1">
        <v>140</v>
      </c>
      <c r="H65" s="1">
        <v>95</v>
      </c>
      <c r="I65" s="1">
        <v>63</v>
      </c>
      <c r="J65" s="1">
        <v>57</v>
      </c>
      <c r="K65" s="1">
        <v>45</v>
      </c>
      <c r="L65" s="1">
        <v>83.4</v>
      </c>
      <c r="M65" s="1">
        <v>39.783730400000003</v>
      </c>
      <c r="N65" s="1">
        <v>-100.445882</v>
      </c>
      <c r="O65" t="str">
        <f t="shared" si="0"/>
        <v>MEDIUM</v>
      </c>
    </row>
    <row r="66" spans="1:15">
      <c r="A66" s="1">
        <v>65</v>
      </c>
      <c r="B66" s="1" t="s">
        <v>90</v>
      </c>
      <c r="C66" s="1" t="s">
        <v>19</v>
      </c>
      <c r="D66" s="1">
        <v>7</v>
      </c>
      <c r="E66" s="1">
        <v>186</v>
      </c>
      <c r="F66" s="1">
        <v>296</v>
      </c>
      <c r="G66" s="1">
        <v>48</v>
      </c>
      <c r="H66" s="1">
        <v>126</v>
      </c>
      <c r="I66" s="1">
        <v>100</v>
      </c>
      <c r="J66" s="1">
        <v>67</v>
      </c>
      <c r="K66" s="1">
        <v>85</v>
      </c>
      <c r="L66" s="1">
        <v>83.4</v>
      </c>
      <c r="M66" s="1">
        <v>54.702354499999998</v>
      </c>
      <c r="N66" s="1">
        <v>-3.2765753000000002</v>
      </c>
      <c r="O66" t="str">
        <f t="shared" si="0"/>
        <v>MEDIUM</v>
      </c>
    </row>
    <row r="67" spans="1:15">
      <c r="A67" s="1">
        <v>66</v>
      </c>
      <c r="B67" s="1" t="s">
        <v>91</v>
      </c>
      <c r="C67" s="1" t="s">
        <v>15</v>
      </c>
      <c r="D67" s="1">
        <v>41</v>
      </c>
      <c r="E67" s="1">
        <v>33</v>
      </c>
      <c r="F67" s="1">
        <v>1001</v>
      </c>
      <c r="G67" s="1">
        <v>39</v>
      </c>
      <c r="H67" s="1">
        <v>244</v>
      </c>
      <c r="I67" s="1">
        <v>151</v>
      </c>
      <c r="J67" s="1">
        <v>34</v>
      </c>
      <c r="K67" s="1">
        <v>187</v>
      </c>
      <c r="L67" s="1">
        <v>83.3</v>
      </c>
      <c r="M67" s="1">
        <v>39.783730400000003</v>
      </c>
      <c r="N67" s="1">
        <v>-100.445882</v>
      </c>
      <c r="O67" t="str">
        <f t="shared" ref="O67:O97" si="1">IF(L67&gt;90,"HIGH",IF(L67&gt;80,"MEDIUM","LOW"))</f>
        <v>MEDIUM</v>
      </c>
    </row>
    <row r="68" spans="1:15">
      <c r="A68" s="1">
        <v>67</v>
      </c>
      <c r="B68" s="1" t="s">
        <v>92</v>
      </c>
      <c r="C68" s="1" t="s">
        <v>93</v>
      </c>
      <c r="D68" s="1">
        <v>1</v>
      </c>
      <c r="E68" s="1">
        <v>117</v>
      </c>
      <c r="F68" s="1">
        <v>486</v>
      </c>
      <c r="G68" s="1">
        <v>34</v>
      </c>
      <c r="H68" s="1">
        <v>61</v>
      </c>
      <c r="I68" s="1">
        <v>103</v>
      </c>
      <c r="J68" s="1">
        <v>195</v>
      </c>
      <c r="K68" s="1">
        <v>71</v>
      </c>
      <c r="L68" s="1">
        <v>83.2</v>
      </c>
      <c r="M68" s="1">
        <v>42.638426099999997</v>
      </c>
      <c r="N68" s="1">
        <v>12.674296999999999</v>
      </c>
      <c r="O68" t="str">
        <f t="shared" si="1"/>
        <v>MEDIUM</v>
      </c>
    </row>
    <row r="69" spans="1:15">
      <c r="A69" s="1">
        <v>68</v>
      </c>
      <c r="B69" s="1" t="s">
        <v>94</v>
      </c>
      <c r="C69" s="1" t="s">
        <v>19</v>
      </c>
      <c r="D69" s="1">
        <v>8</v>
      </c>
      <c r="E69" s="1">
        <v>43</v>
      </c>
      <c r="F69" s="1">
        <v>341</v>
      </c>
      <c r="G69" s="1">
        <v>110</v>
      </c>
      <c r="H69" s="1">
        <v>88</v>
      </c>
      <c r="I69" s="1">
        <v>65</v>
      </c>
      <c r="J69" s="1">
        <v>79</v>
      </c>
      <c r="K69" s="1">
        <v>72</v>
      </c>
      <c r="L69" s="1">
        <v>83.2</v>
      </c>
      <c r="M69" s="1">
        <v>54.702354499999998</v>
      </c>
      <c r="N69" s="1">
        <v>-3.2765753000000002</v>
      </c>
      <c r="O69" t="str">
        <f t="shared" si="1"/>
        <v>MEDIUM</v>
      </c>
    </row>
    <row r="70" spans="1:15">
      <c r="A70" s="1">
        <v>69</v>
      </c>
      <c r="B70" s="1" t="s">
        <v>95</v>
      </c>
      <c r="C70" s="1" t="s">
        <v>46</v>
      </c>
      <c r="D70" s="1">
        <v>3</v>
      </c>
      <c r="E70" s="1">
        <v>267</v>
      </c>
      <c r="F70" s="1">
        <v>771</v>
      </c>
      <c r="G70" s="1">
        <v>108</v>
      </c>
      <c r="H70" s="1">
        <v>80</v>
      </c>
      <c r="I70" s="1">
        <v>70</v>
      </c>
      <c r="J70" s="1">
        <v>49</v>
      </c>
      <c r="K70" s="1">
        <v>51</v>
      </c>
      <c r="L70" s="1">
        <v>83.1</v>
      </c>
      <c r="M70" s="1">
        <v>46.798562400000002</v>
      </c>
      <c r="N70" s="1">
        <v>8.2319735999999999</v>
      </c>
      <c r="O70" t="str">
        <f t="shared" si="1"/>
        <v>MEDIUM</v>
      </c>
    </row>
    <row r="71" spans="1:15">
      <c r="A71" s="1">
        <v>70</v>
      </c>
      <c r="B71" s="1" t="s">
        <v>96</v>
      </c>
      <c r="C71" s="1" t="s">
        <v>15</v>
      </c>
      <c r="D71" s="1">
        <v>42</v>
      </c>
      <c r="E71" s="1">
        <v>149</v>
      </c>
      <c r="F71" s="1">
        <v>596</v>
      </c>
      <c r="G71" s="1">
        <v>25</v>
      </c>
      <c r="H71" s="1">
        <v>229</v>
      </c>
      <c r="I71" s="1">
        <v>146</v>
      </c>
      <c r="J71" s="1">
        <v>80</v>
      </c>
      <c r="K71" s="1">
        <v>63</v>
      </c>
      <c r="L71" s="1">
        <v>83</v>
      </c>
      <c r="M71" s="1">
        <v>39.783730400000003</v>
      </c>
      <c r="N71" s="1">
        <v>-100.445882</v>
      </c>
      <c r="O71" t="str">
        <f t="shared" si="1"/>
        <v>MEDIUM</v>
      </c>
    </row>
    <row r="72" spans="1:15">
      <c r="A72" s="1">
        <v>71</v>
      </c>
      <c r="B72" s="1" t="s">
        <v>97</v>
      </c>
      <c r="C72" s="1" t="s">
        <v>81</v>
      </c>
      <c r="D72" s="1">
        <v>2</v>
      </c>
      <c r="E72" s="1">
        <v>231</v>
      </c>
      <c r="F72" s="1">
        <v>590</v>
      </c>
      <c r="G72" s="1">
        <v>208</v>
      </c>
      <c r="H72" s="1">
        <v>27</v>
      </c>
      <c r="I72" s="1">
        <v>33</v>
      </c>
      <c r="J72" s="1">
        <v>71</v>
      </c>
      <c r="K72" s="1">
        <v>46</v>
      </c>
      <c r="L72" s="1">
        <v>83</v>
      </c>
      <c r="M72" s="1">
        <v>-24.776108600000001</v>
      </c>
      <c r="N72" s="1">
        <v>134.755</v>
      </c>
      <c r="O72" t="str">
        <f t="shared" si="1"/>
        <v>MEDIUM</v>
      </c>
    </row>
    <row r="73" spans="1:15">
      <c r="A73" s="1">
        <v>72</v>
      </c>
      <c r="B73" s="1" t="s">
        <v>98</v>
      </c>
      <c r="C73" s="1" t="s">
        <v>99</v>
      </c>
      <c r="D73" s="1">
        <v>1</v>
      </c>
      <c r="E73" s="1">
        <v>122</v>
      </c>
      <c r="F73" s="1">
        <v>352</v>
      </c>
      <c r="G73" s="1">
        <v>137</v>
      </c>
      <c r="H73" s="1">
        <v>58</v>
      </c>
      <c r="I73" s="1">
        <v>43</v>
      </c>
      <c r="J73" s="1">
        <v>56</v>
      </c>
      <c r="K73" s="1">
        <v>66</v>
      </c>
      <c r="L73" s="1">
        <v>82.9</v>
      </c>
      <c r="M73" s="1">
        <v>52.243497900000001</v>
      </c>
      <c r="N73" s="1">
        <v>5.6343227000000002</v>
      </c>
      <c r="O73" t="str">
        <f t="shared" si="1"/>
        <v>MEDIUM</v>
      </c>
    </row>
    <row r="74" spans="1:15">
      <c r="A74" s="1">
        <v>73</v>
      </c>
      <c r="B74" s="1" t="s">
        <v>100</v>
      </c>
      <c r="C74" s="1" t="s">
        <v>15</v>
      </c>
      <c r="D74" s="1">
        <v>43</v>
      </c>
      <c r="E74" s="1">
        <v>187</v>
      </c>
      <c r="F74" s="1">
        <v>233</v>
      </c>
      <c r="G74" s="1">
        <v>304</v>
      </c>
      <c r="H74" s="1">
        <v>34</v>
      </c>
      <c r="I74" s="1">
        <v>25</v>
      </c>
      <c r="J74" s="1">
        <v>47</v>
      </c>
      <c r="K74" s="1">
        <v>18</v>
      </c>
      <c r="L74" s="1">
        <v>82.9</v>
      </c>
      <c r="M74" s="1">
        <v>39.783730400000003</v>
      </c>
      <c r="N74" s="1">
        <v>-100.445882</v>
      </c>
      <c r="O74" t="str">
        <f t="shared" si="1"/>
        <v>MEDIUM</v>
      </c>
    </row>
    <row r="75" spans="1:15">
      <c r="A75" s="1">
        <v>74</v>
      </c>
      <c r="B75" s="1" t="s">
        <v>101</v>
      </c>
      <c r="C75" s="1" t="s">
        <v>81</v>
      </c>
      <c r="D75" s="1">
        <v>3</v>
      </c>
      <c r="E75" s="1">
        <v>310</v>
      </c>
      <c r="F75" s="1">
        <v>541</v>
      </c>
      <c r="G75" s="1">
        <v>181</v>
      </c>
      <c r="H75" s="1">
        <v>46</v>
      </c>
      <c r="I75" s="1">
        <v>51</v>
      </c>
      <c r="J75" s="1">
        <v>63</v>
      </c>
      <c r="K75" s="1">
        <v>53</v>
      </c>
      <c r="L75" s="1">
        <v>82.8</v>
      </c>
      <c r="M75" s="1">
        <v>-24.776108600000001</v>
      </c>
      <c r="N75" s="1">
        <v>134.755</v>
      </c>
      <c r="O75" t="str">
        <f t="shared" si="1"/>
        <v>MEDIUM</v>
      </c>
    </row>
    <row r="76" spans="1:15">
      <c r="A76" s="1">
        <v>75</v>
      </c>
      <c r="B76" s="1" t="s">
        <v>102</v>
      </c>
      <c r="C76" s="1" t="s">
        <v>103</v>
      </c>
      <c r="D76" s="1">
        <v>1</v>
      </c>
      <c r="E76" s="1">
        <v>97</v>
      </c>
      <c r="F76" s="1">
        <v>633</v>
      </c>
      <c r="G76" s="1">
        <v>52</v>
      </c>
      <c r="H76" s="1">
        <v>99</v>
      </c>
      <c r="I76" s="1">
        <v>102</v>
      </c>
      <c r="J76" s="1">
        <v>112</v>
      </c>
      <c r="K76" s="1">
        <v>93</v>
      </c>
      <c r="L76" s="1">
        <v>82.8</v>
      </c>
      <c r="M76" s="1">
        <v>64.573153700000006</v>
      </c>
      <c r="N76" s="2" t="s">
        <v>104</v>
      </c>
      <c r="O76" t="str">
        <f t="shared" si="1"/>
        <v>MEDIUM</v>
      </c>
    </row>
    <row r="77" spans="1:15">
      <c r="A77" s="1">
        <v>76</v>
      </c>
      <c r="B77" s="1" t="s">
        <v>105</v>
      </c>
      <c r="C77" s="1" t="s">
        <v>15</v>
      </c>
      <c r="D77" s="1">
        <v>44</v>
      </c>
      <c r="E77" s="1">
        <v>15</v>
      </c>
      <c r="F77" s="1">
        <v>1001</v>
      </c>
      <c r="G77" s="1">
        <v>14</v>
      </c>
      <c r="H77" s="1">
        <v>786</v>
      </c>
      <c r="I77" s="1">
        <v>434</v>
      </c>
      <c r="J77" s="1">
        <v>32</v>
      </c>
      <c r="K77" s="1">
        <v>275</v>
      </c>
      <c r="L77" s="1">
        <v>82.7</v>
      </c>
      <c r="M77" s="1">
        <v>39.783730400000003</v>
      </c>
      <c r="N77" s="1">
        <v>-100.445882</v>
      </c>
      <c r="O77" t="str">
        <f t="shared" si="1"/>
        <v>MEDIUM</v>
      </c>
    </row>
    <row r="78" spans="1:15">
      <c r="A78" s="1">
        <v>77</v>
      </c>
      <c r="B78" s="1" t="s">
        <v>106</v>
      </c>
      <c r="C78" s="1" t="s">
        <v>107</v>
      </c>
      <c r="D78" s="1">
        <v>1</v>
      </c>
      <c r="E78" s="1">
        <v>583</v>
      </c>
      <c r="F78" s="1">
        <v>256</v>
      </c>
      <c r="G78" s="1">
        <v>109</v>
      </c>
      <c r="H78" s="1">
        <v>4</v>
      </c>
      <c r="I78" s="1">
        <v>60</v>
      </c>
      <c r="J78" s="1">
        <v>162</v>
      </c>
      <c r="K78" s="1">
        <v>139</v>
      </c>
      <c r="L78" s="1">
        <v>82.6</v>
      </c>
      <c r="M78" s="1">
        <v>-10.3333333</v>
      </c>
      <c r="N78" s="1">
        <v>-53.2</v>
      </c>
      <c r="O78" t="str">
        <f t="shared" si="1"/>
        <v>MEDIUM</v>
      </c>
    </row>
    <row r="79" spans="1:15">
      <c r="A79" s="1">
        <v>78</v>
      </c>
      <c r="B79" s="1" t="s">
        <v>108</v>
      </c>
      <c r="C79" s="1" t="s">
        <v>15</v>
      </c>
      <c r="D79" s="1">
        <v>45</v>
      </c>
      <c r="E79" s="1">
        <v>625</v>
      </c>
      <c r="F79" s="1">
        <v>183</v>
      </c>
      <c r="G79" s="1">
        <v>57</v>
      </c>
      <c r="H79" s="1">
        <v>85</v>
      </c>
      <c r="I79" s="1">
        <v>95</v>
      </c>
      <c r="J79" s="1">
        <v>133</v>
      </c>
      <c r="K79" s="1">
        <v>101</v>
      </c>
      <c r="L79" s="1">
        <v>82.6</v>
      </c>
      <c r="M79" s="1">
        <v>39.783730400000003</v>
      </c>
      <c r="N79" s="1">
        <v>-100.445882</v>
      </c>
      <c r="O79" t="str">
        <f t="shared" si="1"/>
        <v>MEDIUM</v>
      </c>
    </row>
    <row r="80" spans="1:15">
      <c r="A80" s="1">
        <v>79</v>
      </c>
      <c r="B80" s="1" t="s">
        <v>109</v>
      </c>
      <c r="C80" s="1" t="s">
        <v>15</v>
      </c>
      <c r="D80" s="1">
        <v>46</v>
      </c>
      <c r="E80" s="1">
        <v>271</v>
      </c>
      <c r="F80" s="1">
        <v>31</v>
      </c>
      <c r="G80" s="1">
        <v>168</v>
      </c>
      <c r="H80" s="1">
        <v>151</v>
      </c>
      <c r="I80" s="1">
        <v>116</v>
      </c>
      <c r="J80" s="1">
        <v>95</v>
      </c>
      <c r="K80" s="1">
        <v>85</v>
      </c>
      <c r="L80" s="1">
        <v>82.5</v>
      </c>
      <c r="M80" s="1">
        <v>39.783730400000003</v>
      </c>
      <c r="N80" s="1">
        <v>-100.445882</v>
      </c>
      <c r="O80" t="str">
        <f t="shared" si="1"/>
        <v>MEDIUM</v>
      </c>
    </row>
    <row r="81" spans="1:15">
      <c r="A81" s="1">
        <v>80</v>
      </c>
      <c r="B81" s="1" t="s">
        <v>110</v>
      </c>
      <c r="C81" s="1" t="s">
        <v>15</v>
      </c>
      <c r="D81" s="1">
        <v>47</v>
      </c>
      <c r="E81" s="1">
        <v>667</v>
      </c>
      <c r="F81" s="1">
        <v>197</v>
      </c>
      <c r="G81" s="1">
        <v>164</v>
      </c>
      <c r="H81" s="1">
        <v>101</v>
      </c>
      <c r="I81" s="1">
        <v>66</v>
      </c>
      <c r="J81" s="1">
        <v>55</v>
      </c>
      <c r="K81" s="1">
        <v>63</v>
      </c>
      <c r="L81" s="1">
        <v>82.5</v>
      </c>
      <c r="M81" s="1">
        <v>39.783730400000003</v>
      </c>
      <c r="N81" s="1">
        <v>-100.445882</v>
      </c>
      <c r="O81" t="str">
        <f t="shared" si="1"/>
        <v>MEDIUM</v>
      </c>
    </row>
    <row r="82" spans="1:15">
      <c r="A82" s="1">
        <v>81</v>
      </c>
      <c r="B82" s="1" t="s">
        <v>111</v>
      </c>
      <c r="C82" s="1" t="s">
        <v>68</v>
      </c>
      <c r="D82" s="1">
        <v>3</v>
      </c>
      <c r="E82" s="1">
        <v>112</v>
      </c>
      <c r="F82" s="1">
        <v>1001</v>
      </c>
      <c r="G82" s="1">
        <v>124</v>
      </c>
      <c r="H82" s="1">
        <v>64</v>
      </c>
      <c r="I82" s="1">
        <v>76</v>
      </c>
      <c r="J82" s="1">
        <v>72</v>
      </c>
      <c r="K82" s="1">
        <v>85</v>
      </c>
      <c r="L82" s="1">
        <v>82.4</v>
      </c>
      <c r="M82" s="1">
        <v>40.420347900000003</v>
      </c>
      <c r="N82" s="1">
        <v>-79.116698299999996</v>
      </c>
      <c r="O82" t="str">
        <f t="shared" si="1"/>
        <v>MEDIUM</v>
      </c>
    </row>
    <row r="83" spans="1:15">
      <c r="A83" s="1">
        <v>82</v>
      </c>
      <c r="B83" s="1" t="s">
        <v>112</v>
      </c>
      <c r="C83" s="1" t="s">
        <v>81</v>
      </c>
      <c r="D83" s="1">
        <v>4</v>
      </c>
      <c r="E83" s="1">
        <v>188</v>
      </c>
      <c r="F83" s="1">
        <v>666</v>
      </c>
      <c r="G83" s="1">
        <v>37</v>
      </c>
      <c r="H83" s="1">
        <v>153</v>
      </c>
      <c r="I83" s="1">
        <v>136</v>
      </c>
      <c r="J83" s="1">
        <v>101</v>
      </c>
      <c r="K83" s="1">
        <v>121</v>
      </c>
      <c r="L83" s="1">
        <v>82.4</v>
      </c>
      <c r="M83" s="1">
        <v>-24.776108600000001</v>
      </c>
      <c r="N83" s="1">
        <v>134.755</v>
      </c>
      <c r="O83" t="str">
        <f t="shared" si="1"/>
        <v>MEDIUM</v>
      </c>
    </row>
    <row r="84" spans="1:15">
      <c r="A84" s="1">
        <v>83</v>
      </c>
      <c r="B84" s="1" t="s">
        <v>113</v>
      </c>
      <c r="C84" s="1" t="s">
        <v>15</v>
      </c>
      <c r="D84" s="1">
        <v>48</v>
      </c>
      <c r="E84" s="1">
        <v>169</v>
      </c>
      <c r="F84" s="1">
        <v>187</v>
      </c>
      <c r="G84" s="1">
        <v>80</v>
      </c>
      <c r="H84" s="1">
        <v>125</v>
      </c>
      <c r="I84" s="1">
        <v>105</v>
      </c>
      <c r="J84" s="1">
        <v>68</v>
      </c>
      <c r="K84" s="1">
        <v>93</v>
      </c>
      <c r="L84" s="1">
        <v>82.3</v>
      </c>
      <c r="M84" s="1">
        <v>39.783730400000003</v>
      </c>
      <c r="N84" s="1">
        <v>-100.445882</v>
      </c>
      <c r="O84" t="str">
        <f t="shared" si="1"/>
        <v>MEDIUM</v>
      </c>
    </row>
    <row r="85" spans="1:15">
      <c r="A85" s="1">
        <v>84</v>
      </c>
      <c r="B85" s="1" t="s">
        <v>114</v>
      </c>
      <c r="C85" s="1" t="s">
        <v>48</v>
      </c>
      <c r="D85" s="1">
        <v>3</v>
      </c>
      <c r="E85" s="1">
        <v>192</v>
      </c>
      <c r="F85" s="1">
        <v>1001</v>
      </c>
      <c r="G85" s="1">
        <v>101</v>
      </c>
      <c r="H85" s="1">
        <v>122</v>
      </c>
      <c r="I85" s="1">
        <v>108</v>
      </c>
      <c r="J85" s="1">
        <v>44</v>
      </c>
      <c r="K85" s="1">
        <v>76</v>
      </c>
      <c r="L85" s="1">
        <v>82.3</v>
      </c>
      <c r="M85" s="1">
        <v>46.603354000000003</v>
      </c>
      <c r="N85" s="1">
        <v>1.8883335000000001</v>
      </c>
      <c r="O85" t="str">
        <f t="shared" si="1"/>
        <v>MEDIUM</v>
      </c>
    </row>
    <row r="86" spans="1:15">
      <c r="A86" s="1">
        <v>85</v>
      </c>
      <c r="B86" s="1" t="s">
        <v>115</v>
      </c>
      <c r="C86" s="1" t="s">
        <v>66</v>
      </c>
      <c r="D86" s="1">
        <v>3</v>
      </c>
      <c r="E86" s="1">
        <v>105</v>
      </c>
      <c r="F86" s="1">
        <v>143</v>
      </c>
      <c r="G86" s="1">
        <v>59</v>
      </c>
      <c r="H86" s="1">
        <v>108</v>
      </c>
      <c r="I86" s="1">
        <v>115</v>
      </c>
      <c r="J86" s="1">
        <v>129</v>
      </c>
      <c r="K86" s="1">
        <v>151</v>
      </c>
      <c r="L86" s="1">
        <v>82.2</v>
      </c>
      <c r="M86" s="1">
        <v>39.3181528</v>
      </c>
      <c r="N86" s="1">
        <v>-79.810901400000006</v>
      </c>
      <c r="O86" t="str">
        <f t="shared" si="1"/>
        <v>MEDIUM</v>
      </c>
    </row>
    <row r="87" spans="1:15">
      <c r="A87" s="1">
        <v>86</v>
      </c>
      <c r="B87" s="1" t="s">
        <v>116</v>
      </c>
      <c r="C87" s="1" t="s">
        <v>72</v>
      </c>
      <c r="D87" s="1">
        <v>2</v>
      </c>
      <c r="E87" s="1">
        <v>102</v>
      </c>
      <c r="F87" s="1">
        <v>548</v>
      </c>
      <c r="G87" s="1">
        <v>84</v>
      </c>
      <c r="H87" s="1">
        <v>107</v>
      </c>
      <c r="I87" s="1">
        <v>107</v>
      </c>
      <c r="J87" s="1">
        <v>66</v>
      </c>
      <c r="K87" s="1">
        <v>114</v>
      </c>
      <c r="L87" s="1">
        <v>82.2</v>
      </c>
      <c r="M87" s="1">
        <v>44.133434999999999</v>
      </c>
      <c r="N87" s="1">
        <v>-70.822677999999996</v>
      </c>
      <c r="O87" t="str">
        <f t="shared" si="1"/>
        <v>MEDIUM</v>
      </c>
    </row>
    <row r="88" spans="1:15">
      <c r="A88" s="1">
        <v>87</v>
      </c>
      <c r="B88" s="1" t="s">
        <v>117</v>
      </c>
      <c r="C88" s="1" t="s">
        <v>118</v>
      </c>
      <c r="D88" s="1">
        <v>1</v>
      </c>
      <c r="E88" s="1">
        <v>386</v>
      </c>
      <c r="F88" s="1">
        <v>472</v>
      </c>
      <c r="G88" s="1">
        <v>181</v>
      </c>
      <c r="H88" s="1">
        <v>47</v>
      </c>
      <c r="I88" s="1">
        <v>54</v>
      </c>
      <c r="J88" s="1">
        <v>91</v>
      </c>
      <c r="K88" s="1">
        <v>72</v>
      </c>
      <c r="L88" s="1">
        <v>82.1</v>
      </c>
      <c r="M88" s="1">
        <v>39.326068499999998</v>
      </c>
      <c r="N88" s="1">
        <v>-4.8379791000000001</v>
      </c>
      <c r="O88" t="str">
        <f t="shared" si="1"/>
        <v>MEDIUM</v>
      </c>
    </row>
    <row r="89" spans="1:15">
      <c r="A89" s="1">
        <v>88</v>
      </c>
      <c r="B89" s="1" t="s">
        <v>119</v>
      </c>
      <c r="C89" s="1" t="s">
        <v>59</v>
      </c>
      <c r="D89" s="1">
        <v>2</v>
      </c>
      <c r="E89" s="1">
        <v>589</v>
      </c>
      <c r="F89" s="1">
        <v>379</v>
      </c>
      <c r="G89" s="1">
        <v>114</v>
      </c>
      <c r="H89" s="1">
        <v>83</v>
      </c>
      <c r="I89" s="1">
        <v>79</v>
      </c>
      <c r="J89" s="1">
        <v>78</v>
      </c>
      <c r="K89" s="1">
        <v>121</v>
      </c>
      <c r="L89" s="1">
        <v>82.1</v>
      </c>
      <c r="M89" s="1">
        <v>55.670248999999998</v>
      </c>
      <c r="N89" s="1">
        <v>10.3333283</v>
      </c>
      <c r="O89" t="str">
        <f t="shared" si="1"/>
        <v>MEDIUM</v>
      </c>
    </row>
    <row r="90" spans="1:15">
      <c r="A90" s="1">
        <v>89</v>
      </c>
      <c r="B90" s="1" t="s">
        <v>120</v>
      </c>
      <c r="C90" s="1" t="s">
        <v>15</v>
      </c>
      <c r="D90" s="1">
        <v>49</v>
      </c>
      <c r="E90" s="1">
        <v>667</v>
      </c>
      <c r="F90" s="1">
        <v>1001</v>
      </c>
      <c r="G90" s="1">
        <v>91</v>
      </c>
      <c r="H90" s="1">
        <v>158</v>
      </c>
      <c r="I90" s="1">
        <v>104</v>
      </c>
      <c r="J90" s="1">
        <v>70</v>
      </c>
      <c r="K90" s="1">
        <v>66</v>
      </c>
      <c r="L90" s="1">
        <v>82</v>
      </c>
      <c r="M90" s="1">
        <v>39.783730400000003</v>
      </c>
      <c r="N90" s="1">
        <v>-100.445882</v>
      </c>
      <c r="O90" t="str">
        <f t="shared" si="1"/>
        <v>MEDIUM</v>
      </c>
    </row>
    <row r="91" spans="1:15">
      <c r="A91" s="1">
        <v>90</v>
      </c>
      <c r="B91" s="1" t="s">
        <v>121</v>
      </c>
      <c r="C91" s="1" t="s">
        <v>99</v>
      </c>
      <c r="D91" s="1">
        <v>2</v>
      </c>
      <c r="E91" s="1">
        <v>228</v>
      </c>
      <c r="F91" s="1">
        <v>1001</v>
      </c>
      <c r="G91" s="1">
        <v>118</v>
      </c>
      <c r="H91" s="1">
        <v>118</v>
      </c>
      <c r="I91" s="1">
        <v>78</v>
      </c>
      <c r="J91" s="1">
        <v>81</v>
      </c>
      <c r="K91" s="1">
        <v>80</v>
      </c>
      <c r="L91" s="1">
        <v>82</v>
      </c>
      <c r="M91" s="1">
        <v>52.243497900000001</v>
      </c>
      <c r="N91" s="1">
        <v>5.6343227000000002</v>
      </c>
      <c r="O91" t="str">
        <f t="shared" si="1"/>
        <v>MEDIUM</v>
      </c>
    </row>
    <row r="92" spans="1:15">
      <c r="A92" s="1">
        <v>91</v>
      </c>
      <c r="B92" s="1" t="s">
        <v>122</v>
      </c>
      <c r="C92" s="1" t="s">
        <v>15</v>
      </c>
      <c r="D92" s="1">
        <v>50</v>
      </c>
      <c r="E92" s="1">
        <v>34</v>
      </c>
      <c r="F92" s="1">
        <v>145</v>
      </c>
      <c r="G92" s="1">
        <v>21</v>
      </c>
      <c r="H92" s="1">
        <v>318</v>
      </c>
      <c r="I92" s="1">
        <v>228</v>
      </c>
      <c r="J92" s="1">
        <v>221</v>
      </c>
      <c r="K92" s="1">
        <v>129</v>
      </c>
      <c r="L92" s="1">
        <v>81.900000000000006</v>
      </c>
      <c r="M92" s="1">
        <v>39.783730400000003</v>
      </c>
      <c r="N92" s="1">
        <v>-100.445882</v>
      </c>
      <c r="O92" t="str">
        <f t="shared" si="1"/>
        <v>MEDIUM</v>
      </c>
    </row>
    <row r="93" spans="1:15">
      <c r="A93" s="1">
        <v>92</v>
      </c>
      <c r="B93" s="1" t="s">
        <v>123</v>
      </c>
      <c r="C93" s="1" t="s">
        <v>124</v>
      </c>
      <c r="D93" s="1">
        <v>1</v>
      </c>
      <c r="E93" s="1">
        <v>340</v>
      </c>
      <c r="F93" s="1">
        <v>67</v>
      </c>
      <c r="G93" s="1">
        <v>304</v>
      </c>
      <c r="H93" s="1">
        <v>23</v>
      </c>
      <c r="I93" s="1">
        <v>38</v>
      </c>
      <c r="J93" s="1">
        <v>88</v>
      </c>
      <c r="K93" s="1">
        <v>167</v>
      </c>
      <c r="L93" s="1">
        <v>81.900000000000006</v>
      </c>
      <c r="M93" s="1">
        <v>30.047992000000001</v>
      </c>
      <c r="N93" s="1">
        <v>-94.335743300000004</v>
      </c>
      <c r="O93" t="str">
        <f t="shared" si="1"/>
        <v>MEDIUM</v>
      </c>
    </row>
    <row r="94" spans="1:15">
      <c r="A94" s="1">
        <v>93</v>
      </c>
      <c r="B94" s="1" t="s">
        <v>125</v>
      </c>
      <c r="C94" s="1" t="s">
        <v>126</v>
      </c>
      <c r="D94" s="1">
        <v>1</v>
      </c>
      <c r="E94" s="1">
        <v>109</v>
      </c>
      <c r="F94" s="1">
        <v>1001</v>
      </c>
      <c r="G94" s="1">
        <v>135</v>
      </c>
      <c r="H94" s="1">
        <v>82</v>
      </c>
      <c r="I94" s="1">
        <v>83</v>
      </c>
      <c r="J94" s="1">
        <v>77</v>
      </c>
      <c r="K94" s="1">
        <v>108</v>
      </c>
      <c r="L94" s="1">
        <v>81.8</v>
      </c>
      <c r="M94" s="1">
        <v>63.246777700000003</v>
      </c>
      <c r="N94" s="1">
        <v>25.920916399999999</v>
      </c>
      <c r="O94" t="str">
        <f t="shared" si="1"/>
        <v>MEDIUM</v>
      </c>
    </row>
    <row r="95" spans="1:15">
      <c r="A95" s="1">
        <v>94</v>
      </c>
      <c r="B95" s="1" t="s">
        <v>127</v>
      </c>
      <c r="C95" s="1" t="s">
        <v>15</v>
      </c>
      <c r="D95" s="1">
        <v>51</v>
      </c>
      <c r="E95" s="1">
        <v>667</v>
      </c>
      <c r="F95" s="1">
        <v>1001</v>
      </c>
      <c r="G95" s="1">
        <v>141</v>
      </c>
      <c r="H95" s="1">
        <v>161</v>
      </c>
      <c r="I95" s="1">
        <v>118</v>
      </c>
      <c r="J95" s="1">
        <v>38</v>
      </c>
      <c r="K95" s="1">
        <v>53</v>
      </c>
      <c r="L95" s="1">
        <v>81.8</v>
      </c>
      <c r="M95" s="1">
        <v>39.783730400000003</v>
      </c>
      <c r="N95" s="1">
        <v>-100.445882</v>
      </c>
      <c r="O95" t="str">
        <f t="shared" si="1"/>
        <v>MEDIUM</v>
      </c>
    </row>
    <row r="96" spans="1:15">
      <c r="A96" s="1">
        <v>95</v>
      </c>
      <c r="B96" s="1" t="s">
        <v>128</v>
      </c>
      <c r="C96" s="1" t="s">
        <v>72</v>
      </c>
      <c r="D96" s="1">
        <v>3</v>
      </c>
      <c r="E96" s="1">
        <v>294</v>
      </c>
      <c r="F96" s="1">
        <v>753</v>
      </c>
      <c r="G96" s="1">
        <v>122</v>
      </c>
      <c r="H96" s="1">
        <v>90</v>
      </c>
      <c r="I96" s="1">
        <v>90</v>
      </c>
      <c r="J96" s="1">
        <v>121</v>
      </c>
      <c r="K96" s="1">
        <v>76</v>
      </c>
      <c r="L96" s="1">
        <v>81.7</v>
      </c>
      <c r="M96" s="1">
        <v>44.133434999999999</v>
      </c>
      <c r="N96" s="1">
        <v>-70.822677999999996</v>
      </c>
      <c r="O96" t="str">
        <f t="shared" si="1"/>
        <v>MEDIUM</v>
      </c>
    </row>
    <row r="97" spans="1:20">
      <c r="A97" s="1">
        <v>96</v>
      </c>
      <c r="B97" s="1" t="s">
        <v>129</v>
      </c>
      <c r="C97" s="1" t="s">
        <v>34</v>
      </c>
      <c r="D97" s="1">
        <v>4</v>
      </c>
      <c r="E97" s="1">
        <v>281</v>
      </c>
      <c r="F97" s="1">
        <v>371</v>
      </c>
      <c r="G97" s="1">
        <v>192</v>
      </c>
      <c r="H97" s="1">
        <v>62</v>
      </c>
      <c r="I97" s="1">
        <v>69</v>
      </c>
      <c r="J97" s="1">
        <v>117</v>
      </c>
      <c r="K97" s="1">
        <v>80</v>
      </c>
      <c r="L97" s="1">
        <v>81.7</v>
      </c>
      <c r="M97" s="1">
        <v>61.066692199999999</v>
      </c>
      <c r="N97" s="1">
        <v>-107.99170700000001</v>
      </c>
      <c r="O97" t="str">
        <f t="shared" si="1"/>
        <v>MEDIUM</v>
      </c>
    </row>
    <row r="100" spans="1:20" ht="31.5">
      <c r="A100" s="17" t="s">
        <v>138</v>
      </c>
      <c r="G100" s="16" t="s">
        <v>139</v>
      </c>
      <c r="L100" s="16" t="s">
        <v>140</v>
      </c>
      <c r="S100" s="16" t="s">
        <v>141</v>
      </c>
    </row>
    <row r="102" spans="1:20">
      <c r="A102">
        <f>VLOOKUP(B2, B2:D97, 3, FALSE)</f>
        <v>1</v>
      </c>
      <c r="G102">
        <f>INDEX(D2:D97,MATCH(A2,A2:A97,))</f>
        <v>1</v>
      </c>
      <c r="L102" t="str">
        <f>IF(L2&gt;90,"high score","low score")</f>
        <v>high score</v>
      </c>
      <c r="T102" t="str">
        <f>IF(L2&gt;90,"HIGH",IF(L96&gt;80,"MEDIUM","LOW"))</f>
        <v>HIGH</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exam</vt:lpstr>
      <vt:lpstr>clean data</vt:lpstr>
      <vt:lpstr>data cleaning preparation</vt:lpstr>
      <vt:lpstr>pivot table</vt:lpstr>
      <vt:lpstr>ADVANTED 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2025-12-05T07:12:17Z</dcterms:created>
  <dcterms:modified xsi:type="dcterms:W3CDTF">2025-12-05T10:28:48Z</dcterms:modified>
</cp:coreProperties>
</file>